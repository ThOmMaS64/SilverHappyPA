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homa\Downloads\"/>
    </mc:Choice>
  </mc:AlternateContent>
  <xr:revisionPtr revIDLastSave="0" documentId="13_ncr:1_{10486DCE-C095-4AE7-9C45-E90F6A515D36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Total" sheetId="1" r:id="rId1"/>
    <sheet name="Devis site" sheetId="3" r:id="rId2"/>
    <sheet name="Devis matériel" sheetId="4" r:id="rId3"/>
    <sheet name="Devis humain" sheetId="2" r:id="rId4"/>
    <sheet name="Devis licenses" sheetId="5" r:id="rId5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" i="5" l="1"/>
  <c r="E11" i="5"/>
  <c r="E15" i="4"/>
  <c r="E14" i="4"/>
  <c r="E13" i="4"/>
  <c r="E12" i="4"/>
  <c r="E11" i="4"/>
  <c r="E10" i="4"/>
  <c r="E9" i="4"/>
  <c r="E8" i="4"/>
  <c r="E7" i="4"/>
  <c r="H3" i="4"/>
  <c r="H3" i="3"/>
  <c r="H3" i="2"/>
  <c r="E25" i="1"/>
  <c r="E24" i="1"/>
  <c r="E23" i="1"/>
  <c r="E22" i="1"/>
  <c r="E21" i="1"/>
  <c r="E20" i="1"/>
  <c r="E19" i="1"/>
  <c r="E18" i="1"/>
  <c r="E17" i="1"/>
  <c r="H3" i="1"/>
</calcChain>
</file>

<file path=xl/sharedStrings.xml><?xml version="1.0" encoding="utf-8"?>
<sst xmlns="http://schemas.openxmlformats.org/spreadsheetml/2006/main" count="219" uniqueCount="45">
  <si>
    <t>DATE</t>
  </si>
  <si>
    <t>DÉTAILS</t>
  </si>
  <si>
    <t>RECUEILLI PAR</t>
  </si>
  <si>
    <t>Site Silver Happy ; Ali JAHMI, Thomas LARGE, Tristan LE CORRE</t>
  </si>
  <si>
    <t>Équipe développement</t>
  </si>
  <si>
    <t>Analyse et conception</t>
  </si>
  <si>
    <t>Développement partie adhérents</t>
  </si>
  <si>
    <t>Développement partie prestataires</t>
  </si>
  <si>
    <t>Back Office</t>
  </si>
  <si>
    <t>Développement API et sécurité</t>
  </si>
  <si>
    <t>Générations de factures en PDF</t>
  </si>
  <si>
    <t>Traductions automatiques</t>
  </si>
  <si>
    <t>Période test</t>
  </si>
  <si>
    <t>Infrastructrue (1 an)</t>
  </si>
  <si>
    <t>Sécurité et conformité</t>
  </si>
  <si>
    <t>COÛT</t>
  </si>
  <si>
    <t>TOTAL MOYEN EN COURS :</t>
  </si>
  <si>
    <t>ESTIMATION</t>
  </si>
  <si>
    <t>05/20/26</t>
  </si>
  <si>
    <t>Équipe réseau</t>
  </si>
  <si>
    <t>ÉQUIPEMENT/TÂCHE</t>
  </si>
  <si>
    <t>PFSense x3</t>
  </si>
  <si>
    <t>OPNSense x5</t>
  </si>
  <si>
    <t>Câble RJ45 x450</t>
  </si>
  <si>
    <t>Câble OPT x 50</t>
  </si>
  <si>
    <t>COÛT UNITAIRE</t>
  </si>
  <si>
    <t>X</t>
  </si>
  <si>
    <t>Dell 15 professionnel x300</t>
  </si>
  <si>
    <t>Msi Pro MP2412 x300</t>
  </si>
  <si>
    <t>Dell PowerEdge R630 Server x8</t>
  </si>
  <si>
    <t>Routeur Cisco ASR-920-4SZ-A x4</t>
  </si>
  <si>
    <t>Cisco Nexus N9K-C93180YC-FX Switch</t>
  </si>
  <si>
    <t>Main d'oeuvre globale</t>
  </si>
  <si>
    <t>Séjour Moldavie 3 jours (nourriture + hôtel)</t>
  </si>
  <si>
    <t>2 aller-retour Paris- Moldavie</t>
  </si>
  <si>
    <t>1 aller-retour Paris-Nice</t>
  </si>
  <si>
    <t>Séjour nice 2 jours (nourriture + hôtel)</t>
  </si>
  <si>
    <t>ÉTABLISSEMENT DES COÛTS DE PROJET</t>
  </si>
  <si>
    <t>VPS 12 mois</t>
  </si>
  <si>
    <t>Nom de domaine + SSL</t>
  </si>
  <si>
    <t>Sauvegardes</t>
  </si>
  <si>
    <t>Windows Server 2022</t>
  </si>
  <si>
    <t>CAL Windows Server 2022</t>
  </si>
  <si>
    <t>Veeam Data Platform Essentials</t>
  </si>
  <si>
    <t>Licenses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</si>
</sst>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mm/dd/yy;@"/>
    <numFmt numFmtId="166" formatCode="#,##0.00\ &quot;€&quot;"/>
  </numFmts>
  <fonts count="1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2"/>
      <color theme="1"/>
      <name val="Century Gothic"/>
      <family val="1"/>
    </font>
    <font>
      <b/>
      <sz val="22"/>
      <color theme="0" tint="-0.499984740745262"/>
      <name val="Century Gothic"/>
      <family val="1"/>
    </font>
    <font>
      <b/>
      <sz val="10"/>
      <color theme="0"/>
      <name val="Century Gothic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9"/>
      <color theme="1"/>
      <name val="Century Gothic"/>
      <family val="1"/>
    </font>
    <font>
      <b/>
      <sz val="12"/>
      <color theme="6" tint="-0.249977111117893"/>
      <name val="Century Gothic"/>
      <family val="1"/>
    </font>
    <font>
      <b/>
      <sz val="22"/>
      <color theme="1" tint="0.34998626667073579"/>
      <name val="Century Gothic"/>
      <family val="1"/>
    </font>
    <font>
      <sz val="11"/>
      <color theme="1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thin">
        <color theme="0" tint="-0.34998626667073579"/>
      </bottom>
      <diagonal/>
    </border>
    <border>
      <left/>
      <right/>
      <top style="medium">
        <color theme="0" tint="-0.249977111117893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249977111117893"/>
      </top>
      <bottom style="thin">
        <color theme="0" tint="-0.34998626667073579"/>
      </bottom>
      <diagonal/>
    </border>
    <border>
      <left style="medium">
        <color theme="0" tint="-0.249977111117893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</cellStyleXfs>
  <cellXfs count="25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10" fillId="0" borderId="1" xfId="0" applyFont="1" applyBorder="1" applyAlignment="1">
      <alignment horizontal="left" vertical="center" wrapText="1" indent="1"/>
    </xf>
    <xf numFmtId="165" fontId="10" fillId="0" borderId="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 indent="1"/>
    </xf>
    <xf numFmtId="166" fontId="10" fillId="4" borderId="1" xfId="1" applyNumberFormat="1" applyFont="1" applyFill="1" applyBorder="1" applyAlignment="1">
      <alignment vertical="center" wrapText="1"/>
    </xf>
    <xf numFmtId="166" fontId="10" fillId="0" borderId="1" xfId="1" applyNumberFormat="1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66" fontId="11" fillId="0" borderId="0" xfId="0" applyNumberFormat="1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</cellXfs>
  <cellStyles count="5">
    <cellStyle name="Lien hypertexte" xfId="2" builtinId="8" hidden="1"/>
    <cellStyle name="Lien hypertexte visité" xfId="3" builtinId="9" hidden="1"/>
    <cellStyle name="Monétaire" xfId="1" builtinId="4"/>
    <cellStyle name="Normal" xfId="0" builtinId="0"/>
    <cellStyle name="Normal 2" xfId="4" xr:uid="{1B6F6E13-8852-46A8-BD5D-CA9936D9C818}"/>
  </cellStyles>
  <dxfs count="0"/>
  <tableStyles count="0" defaultTableStyle="TableStyleMedium9" defaultPivotStyle="PivotStyleMedium7"/>
  <colors>
    <mruColors>
      <color rgb="FFEAEEF3"/>
      <color rgb="FF00B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499984740745262"/>
  </sheetPr>
  <dimension ref="A1:I91"/>
  <sheetViews>
    <sheetView showGridLines="0" zoomScaleNormal="100" workbookViewId="0">
      <pane ySplit="1" topLeftCell="A22" activePane="bottomLeft" state="frozen"/>
      <selection pane="bottomLeft" activeCell="G33" sqref="G33"/>
    </sheetView>
  </sheetViews>
  <sheetFormatPr baseColWidth="10" defaultColWidth="10.796875" defaultRowHeight="15" x14ac:dyDescent="0.25"/>
  <cols>
    <col min="1" max="1" width="3.5" style="1" customWidth="1"/>
    <col min="2" max="2" width="10.69921875" style="1" customWidth="1"/>
    <col min="3" max="3" width="40" style="1" customWidth="1"/>
    <col min="4" max="4" width="20" style="1" customWidth="1"/>
    <col min="5" max="7" width="16.69921875" style="1" customWidth="1"/>
    <col min="8" max="8" width="44" style="1" customWidth="1"/>
    <col min="9" max="9" width="16.3984375" style="1" customWidth="1"/>
    <col min="10" max="10" width="11" style="1" customWidth="1"/>
    <col min="11" max="16384" width="10.796875" style="1"/>
  </cols>
  <sheetData>
    <row r="1" spans="1:9" ht="49.95" customHeight="1" x14ac:dyDescent="0.45">
      <c r="B1" s="7" t="s">
        <v>37</v>
      </c>
      <c r="C1" s="3"/>
      <c r="D1" s="3"/>
      <c r="E1" s="2"/>
      <c r="F1" s="2"/>
      <c r="G1" s="2"/>
      <c r="H1" s="2"/>
      <c r="I1" s="3"/>
    </row>
    <row r="2" spans="1:9" ht="9" customHeight="1" x14ac:dyDescent="0.25">
      <c r="B2" s="2"/>
      <c r="C2" s="2"/>
      <c r="D2" s="2"/>
      <c r="E2" s="2"/>
      <c r="F2" s="2"/>
      <c r="G2" s="2"/>
      <c r="H2" s="2"/>
      <c r="I2" s="2"/>
    </row>
    <row r="3" spans="1:9" ht="25.95" customHeight="1" x14ac:dyDescent="0.25">
      <c r="B3" s="20" t="s">
        <v>3</v>
      </c>
      <c r="C3" s="20"/>
      <c r="D3" s="20"/>
      <c r="F3" s="21" t="s">
        <v>16</v>
      </c>
      <c r="G3" s="21"/>
      <c r="H3" s="16">
        <f>SUM(E7:E36)</f>
        <v>262593</v>
      </c>
      <c r="I3" s="6"/>
    </row>
    <row r="4" spans="1:9" ht="9" customHeight="1" thickBot="1" x14ac:dyDescent="0.3">
      <c r="B4" s="2"/>
      <c r="C4" s="2"/>
      <c r="D4" s="2"/>
      <c r="E4" s="2"/>
      <c r="F4" s="2"/>
      <c r="G4" s="2"/>
      <c r="H4" s="2"/>
      <c r="I4" s="2"/>
    </row>
    <row r="5" spans="1:9" ht="19.95" customHeight="1" x14ac:dyDescent="0.3">
      <c r="A5"/>
      <c r="B5" s="17" t="s">
        <v>1</v>
      </c>
      <c r="C5" s="18"/>
      <c r="D5" s="19"/>
      <c r="E5" s="22" t="s">
        <v>15</v>
      </c>
      <c r="F5" s="23"/>
    </row>
    <row r="6" spans="1:9" ht="31.95" customHeight="1" x14ac:dyDescent="0.3">
      <c r="A6"/>
      <c r="B6" s="8" t="s">
        <v>0</v>
      </c>
      <c r="C6" s="9" t="s">
        <v>20</v>
      </c>
      <c r="D6" s="9" t="s">
        <v>2</v>
      </c>
      <c r="E6" s="10" t="s">
        <v>17</v>
      </c>
      <c r="F6" s="10" t="s">
        <v>25</v>
      </c>
    </row>
    <row r="7" spans="1:9" ht="19.95" customHeight="1" x14ac:dyDescent="0.3">
      <c r="A7"/>
      <c r="B7" s="5">
        <v>46162</v>
      </c>
      <c r="C7" s="4" t="s">
        <v>5</v>
      </c>
      <c r="D7" s="4" t="s">
        <v>4</v>
      </c>
      <c r="E7" s="13">
        <v>1200</v>
      </c>
      <c r="F7" s="14" t="s">
        <v>26</v>
      </c>
    </row>
    <row r="8" spans="1:9" ht="19.95" customHeight="1" x14ac:dyDescent="0.3">
      <c r="A8"/>
      <c r="B8" s="11" t="s">
        <v>18</v>
      </c>
      <c r="C8" s="11" t="s">
        <v>6</v>
      </c>
      <c r="D8" s="11" t="s">
        <v>4</v>
      </c>
      <c r="E8" s="12">
        <v>2500</v>
      </c>
      <c r="F8" s="15" t="s">
        <v>26</v>
      </c>
    </row>
    <row r="9" spans="1:9" ht="19.95" customHeight="1" x14ac:dyDescent="0.3">
      <c r="A9"/>
      <c r="B9" s="5">
        <v>46162</v>
      </c>
      <c r="C9" s="4" t="s">
        <v>7</v>
      </c>
      <c r="D9" s="4" t="s">
        <v>4</v>
      </c>
      <c r="E9" s="13">
        <v>1800</v>
      </c>
      <c r="F9" s="14" t="s">
        <v>26</v>
      </c>
    </row>
    <row r="10" spans="1:9" ht="19.95" customHeight="1" x14ac:dyDescent="0.3">
      <c r="A10"/>
      <c r="B10" s="11" t="s">
        <v>18</v>
      </c>
      <c r="C10" s="11" t="s">
        <v>8</v>
      </c>
      <c r="D10" s="11" t="s">
        <v>4</v>
      </c>
      <c r="E10" s="12">
        <v>1500</v>
      </c>
      <c r="F10" s="15" t="s">
        <v>26</v>
      </c>
    </row>
    <row r="11" spans="1:9" ht="19.95" customHeight="1" x14ac:dyDescent="0.3">
      <c r="A11"/>
      <c r="B11" s="5">
        <v>46162</v>
      </c>
      <c r="C11" s="4" t="s">
        <v>9</v>
      </c>
      <c r="D11" s="4" t="s">
        <v>4</v>
      </c>
      <c r="E11" s="13">
        <v>1200</v>
      </c>
      <c r="F11" s="14" t="s">
        <v>26</v>
      </c>
    </row>
    <row r="12" spans="1:9" ht="19.95" customHeight="1" x14ac:dyDescent="0.3">
      <c r="A12"/>
      <c r="B12" s="11" t="s">
        <v>18</v>
      </c>
      <c r="C12" s="11" t="s">
        <v>10</v>
      </c>
      <c r="D12" s="11" t="s">
        <v>4</v>
      </c>
      <c r="E12" s="12">
        <v>800</v>
      </c>
      <c r="F12" s="15" t="s">
        <v>26</v>
      </c>
    </row>
    <row r="13" spans="1:9" ht="19.95" customHeight="1" x14ac:dyDescent="0.3">
      <c r="A13"/>
      <c r="B13" s="5">
        <v>46162</v>
      </c>
      <c r="C13" s="4" t="s">
        <v>11</v>
      </c>
      <c r="D13" s="4" t="s">
        <v>4</v>
      </c>
      <c r="E13" s="13">
        <v>600</v>
      </c>
      <c r="F13" s="14" t="s">
        <v>26</v>
      </c>
    </row>
    <row r="14" spans="1:9" ht="19.95" customHeight="1" x14ac:dyDescent="0.3">
      <c r="A14"/>
      <c r="B14" s="11" t="s">
        <v>18</v>
      </c>
      <c r="C14" s="11" t="s">
        <v>12</v>
      </c>
      <c r="D14" s="11" t="s">
        <v>4</v>
      </c>
      <c r="E14" s="12">
        <v>400</v>
      </c>
      <c r="F14" s="15" t="s">
        <v>26</v>
      </c>
    </row>
    <row r="15" spans="1:9" ht="19.95" customHeight="1" x14ac:dyDescent="0.3">
      <c r="A15"/>
      <c r="B15" s="5">
        <v>46162</v>
      </c>
      <c r="C15" s="4" t="s">
        <v>13</v>
      </c>
      <c r="D15" s="4" t="s">
        <v>4</v>
      </c>
      <c r="E15" s="13">
        <v>2500</v>
      </c>
      <c r="F15" s="14" t="s">
        <v>26</v>
      </c>
    </row>
    <row r="16" spans="1:9" ht="19.95" customHeight="1" x14ac:dyDescent="0.3">
      <c r="A16"/>
      <c r="B16" s="11" t="s">
        <v>18</v>
      </c>
      <c r="C16" s="11" t="s">
        <v>14</v>
      </c>
      <c r="D16" s="11" t="s">
        <v>4</v>
      </c>
      <c r="E16" s="12">
        <v>1000</v>
      </c>
      <c r="F16" s="15" t="s">
        <v>26</v>
      </c>
    </row>
    <row r="17" spans="1:6" ht="19.95" customHeight="1" x14ac:dyDescent="0.3">
      <c r="A17"/>
      <c r="B17" s="5">
        <v>46162</v>
      </c>
      <c r="C17" s="4" t="s">
        <v>21</v>
      </c>
      <c r="D17" s="4" t="s">
        <v>19</v>
      </c>
      <c r="E17" s="13">
        <f>700*3</f>
        <v>2100</v>
      </c>
      <c r="F17" s="13">
        <v>700</v>
      </c>
    </row>
    <row r="18" spans="1:6" ht="19.95" customHeight="1" x14ac:dyDescent="0.3">
      <c r="A18"/>
      <c r="B18" s="11" t="s">
        <v>18</v>
      </c>
      <c r="C18" s="11" t="s">
        <v>22</v>
      </c>
      <c r="D18" s="11" t="s">
        <v>19</v>
      </c>
      <c r="E18" s="12">
        <f>700*5</f>
        <v>3500</v>
      </c>
      <c r="F18" s="12">
        <v>700</v>
      </c>
    </row>
    <row r="19" spans="1:6" ht="19.95" customHeight="1" x14ac:dyDescent="0.3">
      <c r="A19"/>
      <c r="B19" s="5">
        <v>46162</v>
      </c>
      <c r="C19" s="4" t="s">
        <v>23</v>
      </c>
      <c r="D19" s="4" t="s">
        <v>19</v>
      </c>
      <c r="E19" s="13">
        <f>3*450</f>
        <v>1350</v>
      </c>
      <c r="F19" s="13">
        <v>3</v>
      </c>
    </row>
    <row r="20" spans="1:6" ht="19.95" customHeight="1" x14ac:dyDescent="0.3">
      <c r="A20"/>
      <c r="B20" s="11" t="s">
        <v>18</v>
      </c>
      <c r="C20" s="11" t="s">
        <v>24</v>
      </c>
      <c r="D20" s="11" t="s">
        <v>19</v>
      </c>
      <c r="E20" s="12">
        <f>5*50</f>
        <v>250</v>
      </c>
      <c r="F20" s="12">
        <v>5</v>
      </c>
    </row>
    <row r="21" spans="1:6" ht="19.95" customHeight="1" x14ac:dyDescent="0.3">
      <c r="A21"/>
      <c r="B21" s="5">
        <v>46162</v>
      </c>
      <c r="C21" s="4" t="s">
        <v>27</v>
      </c>
      <c r="D21" s="4" t="s">
        <v>19</v>
      </c>
      <c r="E21" s="13">
        <f>500*300</f>
        <v>150000</v>
      </c>
      <c r="F21" s="13">
        <v>500</v>
      </c>
    </row>
    <row r="22" spans="1:6" ht="19.95" customHeight="1" x14ac:dyDescent="0.3">
      <c r="A22"/>
      <c r="B22" s="11" t="s">
        <v>18</v>
      </c>
      <c r="C22" s="11" t="s">
        <v>28</v>
      </c>
      <c r="D22" s="11" t="s">
        <v>19</v>
      </c>
      <c r="E22" s="12">
        <f>60*300</f>
        <v>18000</v>
      </c>
      <c r="F22" s="12">
        <v>60</v>
      </c>
    </row>
    <row r="23" spans="1:6" ht="19.95" customHeight="1" x14ac:dyDescent="0.3">
      <c r="A23"/>
      <c r="B23" s="5">
        <v>46162</v>
      </c>
      <c r="C23" s="4" t="s">
        <v>29</v>
      </c>
      <c r="D23" s="4" t="s">
        <v>19</v>
      </c>
      <c r="E23" s="13">
        <f>2000*8</f>
        <v>16000</v>
      </c>
      <c r="F23" s="13">
        <v>2000</v>
      </c>
    </row>
    <row r="24" spans="1:6" ht="19.95" customHeight="1" x14ac:dyDescent="0.3">
      <c r="A24"/>
      <c r="B24" s="11" t="s">
        <v>18</v>
      </c>
      <c r="C24" s="11" t="s">
        <v>30</v>
      </c>
      <c r="D24" s="11" t="s">
        <v>19</v>
      </c>
      <c r="E24" s="12">
        <f>3500*4</f>
        <v>14000</v>
      </c>
      <c r="F24" s="12">
        <v>3500</v>
      </c>
    </row>
    <row r="25" spans="1:6" ht="19.95" customHeight="1" x14ac:dyDescent="0.3">
      <c r="A25"/>
      <c r="B25" s="5">
        <v>46162</v>
      </c>
      <c r="C25" s="4" t="s">
        <v>31</v>
      </c>
      <c r="D25" s="4" t="s">
        <v>19</v>
      </c>
      <c r="E25" s="13">
        <f>2200*9</f>
        <v>19800</v>
      </c>
      <c r="F25" s="13">
        <v>2200</v>
      </c>
    </row>
    <row r="26" spans="1:6" ht="19.95" customHeight="1" x14ac:dyDescent="0.3">
      <c r="A26"/>
      <c r="B26" s="11" t="s">
        <v>18</v>
      </c>
      <c r="C26" s="11" t="s">
        <v>32</v>
      </c>
      <c r="D26" s="11" t="s">
        <v>19</v>
      </c>
      <c r="E26" s="12">
        <v>10000</v>
      </c>
      <c r="F26" s="15" t="s">
        <v>26</v>
      </c>
    </row>
    <row r="27" spans="1:6" ht="19.95" customHeight="1" x14ac:dyDescent="0.3">
      <c r="A27"/>
      <c r="B27" s="5">
        <v>46162</v>
      </c>
      <c r="C27" s="4" t="s">
        <v>34</v>
      </c>
      <c r="D27" s="4" t="s">
        <v>19</v>
      </c>
      <c r="E27" s="13">
        <v>1200</v>
      </c>
      <c r="F27" s="14" t="s">
        <v>26</v>
      </c>
    </row>
    <row r="28" spans="1:6" ht="19.95" customHeight="1" x14ac:dyDescent="0.3">
      <c r="A28"/>
      <c r="B28" s="11" t="s">
        <v>18</v>
      </c>
      <c r="C28" s="11" t="s">
        <v>33</v>
      </c>
      <c r="D28" s="11" t="s">
        <v>19</v>
      </c>
      <c r="E28" s="12">
        <v>800</v>
      </c>
      <c r="F28" s="15" t="s">
        <v>26</v>
      </c>
    </row>
    <row r="29" spans="1:6" ht="19.95" customHeight="1" x14ac:dyDescent="0.3">
      <c r="A29"/>
      <c r="B29" s="5">
        <v>46162</v>
      </c>
      <c r="C29" s="4" t="s">
        <v>35</v>
      </c>
      <c r="D29" s="4" t="s">
        <v>19</v>
      </c>
      <c r="E29" s="13">
        <v>250</v>
      </c>
      <c r="F29" s="14" t="s">
        <v>26</v>
      </c>
    </row>
    <row r="30" spans="1:6" ht="19.95" customHeight="1" x14ac:dyDescent="0.3">
      <c r="A30"/>
      <c r="B30" s="11" t="s">
        <v>18</v>
      </c>
      <c r="C30" s="11" t="s">
        <v>36</v>
      </c>
      <c r="D30" s="11" t="s">
        <v>19</v>
      </c>
      <c r="E30" s="12">
        <v>250</v>
      </c>
      <c r="F30" s="15" t="s">
        <v>26</v>
      </c>
    </row>
    <row r="31" spans="1:6" ht="19.95" customHeight="1" x14ac:dyDescent="0.3">
      <c r="A31"/>
      <c r="B31" s="5">
        <v>46162</v>
      </c>
      <c r="C31" s="4" t="s">
        <v>44</v>
      </c>
      <c r="D31" s="4" t="s">
        <v>19</v>
      </c>
      <c r="E31" s="13">
        <v>11593</v>
      </c>
      <c r="F31" s="14" t="s">
        <v>26</v>
      </c>
    </row>
    <row r="32" spans="1:6" ht="19.95" customHeight="1" x14ac:dyDescent="0.3">
      <c r="A32"/>
    </row>
    <row r="33" spans="1:1" ht="19.95" customHeight="1" x14ac:dyDescent="0.3">
      <c r="A33"/>
    </row>
    <row r="34" spans="1:1" ht="19.95" customHeight="1" x14ac:dyDescent="0.3">
      <c r="A34"/>
    </row>
    <row r="35" spans="1:1" ht="19.95" customHeight="1" x14ac:dyDescent="0.3">
      <c r="A35"/>
    </row>
    <row r="36" spans="1:1" ht="19.95" customHeight="1" x14ac:dyDescent="0.3">
      <c r="A36"/>
    </row>
    <row r="37" spans="1:1" ht="21" customHeight="1" x14ac:dyDescent="0.3">
      <c r="A37"/>
    </row>
    <row r="38" spans="1:1" ht="49.95" customHeight="1" x14ac:dyDescent="0.3">
      <c r="A38"/>
    </row>
    <row r="39" spans="1:1" ht="21" customHeight="1" x14ac:dyDescent="0.3">
      <c r="A39"/>
    </row>
    <row r="40" spans="1:1" ht="21" customHeight="1" x14ac:dyDescent="0.3">
      <c r="A40"/>
    </row>
    <row r="41" spans="1:1" ht="21" customHeight="1" x14ac:dyDescent="0.3">
      <c r="A41"/>
    </row>
    <row r="42" spans="1:1" ht="21" customHeight="1" x14ac:dyDescent="0.3">
      <c r="A42"/>
    </row>
    <row r="43" spans="1:1" ht="21" customHeight="1" x14ac:dyDescent="0.3">
      <c r="A43"/>
    </row>
    <row r="44" spans="1:1" ht="21" customHeight="1" x14ac:dyDescent="0.3">
      <c r="A44"/>
    </row>
    <row r="45" spans="1:1" ht="21" customHeight="1" x14ac:dyDescent="0.3">
      <c r="A45"/>
    </row>
    <row r="46" spans="1:1" ht="21" customHeight="1" x14ac:dyDescent="0.3">
      <c r="A46"/>
    </row>
    <row r="47" spans="1:1" ht="21" customHeight="1" x14ac:dyDescent="0.3">
      <c r="A47"/>
    </row>
    <row r="48" spans="1:1" ht="21" customHeight="1" x14ac:dyDescent="0.3">
      <c r="A48"/>
    </row>
    <row r="49" spans="1:1" ht="21" customHeight="1" x14ac:dyDescent="0.3">
      <c r="A49"/>
    </row>
    <row r="50" spans="1:1" ht="21" customHeight="1" x14ac:dyDescent="0.3">
      <c r="A50"/>
    </row>
    <row r="51" spans="1:1" ht="21" customHeight="1" x14ac:dyDescent="0.3">
      <c r="A51"/>
    </row>
    <row r="52" spans="1:1" ht="21" customHeight="1" x14ac:dyDescent="0.3">
      <c r="A52"/>
    </row>
    <row r="53" spans="1:1" ht="21" customHeight="1" x14ac:dyDescent="0.3">
      <c r="A53"/>
    </row>
    <row r="54" spans="1:1" ht="21" customHeight="1" x14ac:dyDescent="0.3">
      <c r="A54"/>
    </row>
    <row r="55" spans="1:1" ht="21" customHeight="1" x14ac:dyDescent="0.3">
      <c r="A55"/>
    </row>
    <row r="56" spans="1:1" ht="21" customHeight="1" x14ac:dyDescent="0.3">
      <c r="A56"/>
    </row>
    <row r="57" spans="1:1" ht="21" customHeight="1" x14ac:dyDescent="0.3">
      <c r="A57"/>
    </row>
    <row r="58" spans="1:1" ht="21" customHeight="1" x14ac:dyDescent="0.3">
      <c r="A58"/>
    </row>
    <row r="59" spans="1:1" ht="21" customHeight="1" x14ac:dyDescent="0.3">
      <c r="A59"/>
    </row>
    <row r="60" spans="1:1" ht="21" customHeight="1" x14ac:dyDescent="0.3">
      <c r="A60"/>
    </row>
    <row r="61" spans="1:1" ht="15.6" x14ac:dyDescent="0.3">
      <c r="A61"/>
    </row>
    <row r="62" spans="1:1" ht="15.6" x14ac:dyDescent="0.3">
      <c r="A62"/>
    </row>
    <row r="63" spans="1:1" ht="15.6" x14ac:dyDescent="0.3">
      <c r="A63"/>
    </row>
    <row r="64" spans="1:1" ht="15.6" x14ac:dyDescent="0.3">
      <c r="A64"/>
    </row>
    <row r="65" spans="1:1" ht="15.6" x14ac:dyDescent="0.3">
      <c r="A65"/>
    </row>
    <row r="66" spans="1:1" ht="15.6" x14ac:dyDescent="0.3">
      <c r="A66"/>
    </row>
    <row r="67" spans="1:1" ht="15.6" x14ac:dyDescent="0.3">
      <c r="A67"/>
    </row>
    <row r="68" spans="1:1" ht="15.6" x14ac:dyDescent="0.3">
      <c r="A68"/>
    </row>
    <row r="69" spans="1:1" ht="15.6" x14ac:dyDescent="0.3">
      <c r="A69"/>
    </row>
    <row r="70" spans="1:1" ht="15.6" x14ac:dyDescent="0.3">
      <c r="A70"/>
    </row>
    <row r="71" spans="1:1" ht="15.6" x14ac:dyDescent="0.3">
      <c r="A71"/>
    </row>
    <row r="72" spans="1:1" ht="15.6" x14ac:dyDescent="0.3">
      <c r="A72"/>
    </row>
    <row r="73" spans="1:1" ht="15.6" x14ac:dyDescent="0.3">
      <c r="A73"/>
    </row>
    <row r="74" spans="1:1" ht="15.6" x14ac:dyDescent="0.3">
      <c r="A74"/>
    </row>
    <row r="75" spans="1:1" ht="15.6" x14ac:dyDescent="0.3">
      <c r="A75"/>
    </row>
    <row r="76" spans="1:1" ht="15.6" x14ac:dyDescent="0.3">
      <c r="A76"/>
    </row>
    <row r="77" spans="1:1" ht="15.6" x14ac:dyDescent="0.3">
      <c r="A77"/>
    </row>
    <row r="78" spans="1:1" ht="15.6" x14ac:dyDescent="0.3">
      <c r="A78"/>
    </row>
    <row r="79" spans="1:1" ht="15.6" x14ac:dyDescent="0.3">
      <c r="A79"/>
    </row>
    <row r="80" spans="1:1" ht="15.6" x14ac:dyDescent="0.3">
      <c r="A80"/>
    </row>
    <row r="81" spans="1:1" ht="15.6" x14ac:dyDescent="0.3">
      <c r="A81"/>
    </row>
    <row r="82" spans="1:1" ht="15.6" x14ac:dyDescent="0.3">
      <c r="A82"/>
    </row>
    <row r="83" spans="1:1" ht="15.6" x14ac:dyDescent="0.3">
      <c r="A83"/>
    </row>
    <row r="84" spans="1:1" ht="15.6" x14ac:dyDescent="0.3">
      <c r="A84"/>
    </row>
    <row r="85" spans="1:1" ht="15.6" x14ac:dyDescent="0.3">
      <c r="A85"/>
    </row>
    <row r="86" spans="1:1" ht="15.6" x14ac:dyDescent="0.3">
      <c r="A86"/>
    </row>
    <row r="87" spans="1:1" ht="15.6" x14ac:dyDescent="0.3">
      <c r="A87"/>
    </row>
    <row r="88" spans="1:1" ht="21" customHeight="1" x14ac:dyDescent="0.3">
      <c r="A88"/>
    </row>
    <row r="91" spans="1:1" ht="42" customHeight="1" x14ac:dyDescent="0.25"/>
  </sheetData>
  <mergeCells count="4">
    <mergeCell ref="B5:D5"/>
    <mergeCell ref="B3:D3"/>
    <mergeCell ref="F3:G3"/>
    <mergeCell ref="E5:F5"/>
  </mergeCells>
  <phoneticPr fontId="4" type="noConversion"/>
  <printOptions horizontalCentered="1" verticalCentered="1"/>
  <pageMargins left="0.25" right="0.25" top="0.25" bottom="0.25" header="0" footer="0"/>
  <pageSetup scale="9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731F-A258-494B-81BC-D24BA25AF687}">
  <dimension ref="A1:I91"/>
  <sheetViews>
    <sheetView workbookViewId="0">
      <selection activeCell="E15" sqref="E15"/>
    </sheetView>
  </sheetViews>
  <sheetFormatPr baseColWidth="10" defaultColWidth="10.796875" defaultRowHeight="15" x14ac:dyDescent="0.25"/>
  <cols>
    <col min="1" max="1" width="3.5" style="1" customWidth="1"/>
    <col min="2" max="2" width="10.69921875" style="1" customWidth="1"/>
    <col min="3" max="3" width="40" style="1" customWidth="1"/>
    <col min="4" max="4" width="20" style="1" customWidth="1"/>
    <col min="5" max="7" width="16.69921875" style="1" customWidth="1"/>
    <col min="8" max="8" width="44" style="1" customWidth="1"/>
    <col min="9" max="9" width="16.3984375" style="1" customWidth="1"/>
    <col min="10" max="10" width="11" style="1" customWidth="1"/>
    <col min="11" max="16384" width="10.796875" style="1"/>
  </cols>
  <sheetData>
    <row r="1" spans="1:9" ht="49.95" customHeight="1" x14ac:dyDescent="0.45">
      <c r="B1" s="7" t="s">
        <v>37</v>
      </c>
      <c r="C1" s="3"/>
      <c r="D1" s="3"/>
      <c r="E1" s="2"/>
      <c r="F1" s="2"/>
      <c r="G1" s="2"/>
      <c r="H1" s="2"/>
      <c r="I1" s="3"/>
    </row>
    <row r="2" spans="1:9" ht="9" customHeight="1" x14ac:dyDescent="0.25">
      <c r="B2" s="2"/>
      <c r="C2" s="2"/>
      <c r="D2" s="2"/>
      <c r="E2" s="2"/>
      <c r="F2" s="2"/>
      <c r="G2" s="2"/>
      <c r="H2" s="2"/>
      <c r="I2" s="2"/>
    </row>
    <row r="3" spans="1:9" ht="25.95" customHeight="1" x14ac:dyDescent="0.25">
      <c r="B3" s="20" t="s">
        <v>3</v>
      </c>
      <c r="C3" s="20"/>
      <c r="D3" s="20"/>
      <c r="F3" s="21" t="s">
        <v>16</v>
      </c>
      <c r="G3" s="21"/>
      <c r="H3" s="16">
        <f>SUM(E7:E36)</f>
        <v>11000</v>
      </c>
      <c r="I3" s="6"/>
    </row>
    <row r="4" spans="1:9" ht="9" customHeight="1" thickBot="1" x14ac:dyDescent="0.3">
      <c r="B4" s="2"/>
      <c r="C4" s="2"/>
      <c r="D4" s="2"/>
      <c r="E4" s="2"/>
      <c r="F4" s="2"/>
      <c r="G4" s="2"/>
      <c r="H4" s="2"/>
      <c r="I4" s="2"/>
    </row>
    <row r="5" spans="1:9" ht="19.95" customHeight="1" x14ac:dyDescent="0.3">
      <c r="A5"/>
      <c r="B5" s="17" t="s">
        <v>1</v>
      </c>
      <c r="C5" s="18"/>
      <c r="D5" s="19"/>
      <c r="E5" s="22" t="s">
        <v>15</v>
      </c>
      <c r="F5" s="23"/>
    </row>
    <row r="6" spans="1:9" ht="31.95" customHeight="1" x14ac:dyDescent="0.3">
      <c r="A6"/>
      <c r="B6" s="8" t="s">
        <v>0</v>
      </c>
      <c r="C6" s="9" t="s">
        <v>20</v>
      </c>
      <c r="D6" s="9" t="s">
        <v>2</v>
      </c>
      <c r="E6" s="10" t="s">
        <v>17</v>
      </c>
      <c r="F6" s="10" t="s">
        <v>25</v>
      </c>
    </row>
    <row r="7" spans="1:9" ht="19.95" customHeight="1" x14ac:dyDescent="0.3">
      <c r="A7"/>
      <c r="B7" s="5">
        <v>46162</v>
      </c>
      <c r="C7" s="4" t="s">
        <v>5</v>
      </c>
      <c r="D7" s="4" t="s">
        <v>4</v>
      </c>
      <c r="E7" s="13">
        <v>1200</v>
      </c>
      <c r="F7" s="14" t="s">
        <v>26</v>
      </c>
    </row>
    <row r="8" spans="1:9" ht="19.95" customHeight="1" x14ac:dyDescent="0.3">
      <c r="A8"/>
      <c r="B8" s="11" t="s">
        <v>18</v>
      </c>
      <c r="C8" s="11" t="s">
        <v>6</v>
      </c>
      <c r="D8" s="11" t="s">
        <v>4</v>
      </c>
      <c r="E8" s="12">
        <v>2500</v>
      </c>
      <c r="F8" s="15" t="s">
        <v>26</v>
      </c>
    </row>
    <row r="9" spans="1:9" ht="19.95" customHeight="1" x14ac:dyDescent="0.3">
      <c r="A9"/>
      <c r="B9" s="5">
        <v>46162</v>
      </c>
      <c r="C9" s="4" t="s">
        <v>7</v>
      </c>
      <c r="D9" s="4" t="s">
        <v>4</v>
      </c>
      <c r="E9" s="13">
        <v>1800</v>
      </c>
      <c r="F9" s="14" t="s">
        <v>26</v>
      </c>
    </row>
    <row r="10" spans="1:9" ht="19.95" customHeight="1" x14ac:dyDescent="0.3">
      <c r="A10"/>
      <c r="B10" s="11" t="s">
        <v>18</v>
      </c>
      <c r="C10" s="11" t="s">
        <v>8</v>
      </c>
      <c r="D10" s="11" t="s">
        <v>4</v>
      </c>
      <c r="E10" s="12">
        <v>1500</v>
      </c>
      <c r="F10" s="15" t="s">
        <v>26</v>
      </c>
    </row>
    <row r="11" spans="1:9" ht="19.95" customHeight="1" x14ac:dyDescent="0.3">
      <c r="A11"/>
      <c r="B11" s="5">
        <v>46162</v>
      </c>
      <c r="C11" s="4" t="s">
        <v>9</v>
      </c>
      <c r="D11" s="4" t="s">
        <v>4</v>
      </c>
      <c r="E11" s="13">
        <v>1200</v>
      </c>
      <c r="F11" s="14" t="s">
        <v>26</v>
      </c>
    </row>
    <row r="12" spans="1:9" ht="19.95" customHeight="1" x14ac:dyDescent="0.3">
      <c r="A12"/>
      <c r="B12" s="11" t="s">
        <v>18</v>
      </c>
      <c r="C12" s="11" t="s">
        <v>10</v>
      </c>
      <c r="D12" s="11" t="s">
        <v>4</v>
      </c>
      <c r="E12" s="12">
        <v>800</v>
      </c>
      <c r="F12" s="15" t="s">
        <v>26</v>
      </c>
    </row>
    <row r="13" spans="1:9" ht="19.95" customHeight="1" x14ac:dyDescent="0.3">
      <c r="A13"/>
      <c r="B13" s="5">
        <v>46162</v>
      </c>
      <c r="C13" s="4" t="s">
        <v>11</v>
      </c>
      <c r="D13" s="4" t="s">
        <v>4</v>
      </c>
      <c r="E13" s="13">
        <v>600</v>
      </c>
      <c r="F13" s="14" t="s">
        <v>26</v>
      </c>
    </row>
    <row r="14" spans="1:9" ht="19.95" customHeight="1" x14ac:dyDescent="0.3">
      <c r="A14"/>
      <c r="B14" s="11" t="s">
        <v>18</v>
      </c>
      <c r="C14" s="11" t="s">
        <v>12</v>
      </c>
      <c r="D14" s="11" t="s">
        <v>4</v>
      </c>
      <c r="E14" s="12">
        <v>400</v>
      </c>
      <c r="F14" s="15" t="s">
        <v>26</v>
      </c>
    </row>
    <row r="15" spans="1:9" ht="19.95" customHeight="1" x14ac:dyDescent="0.3">
      <c r="A15"/>
      <c r="B15" s="5">
        <v>46162</v>
      </c>
      <c r="C15" s="4" t="s">
        <v>14</v>
      </c>
      <c r="D15" s="4" t="s">
        <v>4</v>
      </c>
      <c r="E15" s="13">
        <v>1000</v>
      </c>
      <c r="F15" s="14" t="s">
        <v>26</v>
      </c>
    </row>
    <row r="16" spans="1:9" ht="19.95" customHeight="1" x14ac:dyDescent="0.3">
      <c r="A16"/>
    </row>
    <row r="17" spans="1:1" ht="19.95" customHeight="1" x14ac:dyDescent="0.3">
      <c r="A17"/>
    </row>
    <row r="18" spans="1:1" ht="19.95" customHeight="1" x14ac:dyDescent="0.3">
      <c r="A18"/>
    </row>
    <row r="19" spans="1:1" ht="19.95" customHeight="1" x14ac:dyDescent="0.3">
      <c r="A19"/>
    </row>
    <row r="20" spans="1:1" ht="19.95" customHeight="1" x14ac:dyDescent="0.3">
      <c r="A20"/>
    </row>
    <row r="21" spans="1:1" ht="19.95" customHeight="1" x14ac:dyDescent="0.3">
      <c r="A21"/>
    </row>
    <row r="22" spans="1:1" ht="19.95" customHeight="1" x14ac:dyDescent="0.3">
      <c r="A22"/>
    </row>
    <row r="23" spans="1:1" ht="19.95" customHeight="1" x14ac:dyDescent="0.3">
      <c r="A23"/>
    </row>
    <row r="24" spans="1:1" ht="19.95" customHeight="1" x14ac:dyDescent="0.3">
      <c r="A24"/>
    </row>
    <row r="25" spans="1:1" ht="19.95" customHeight="1" x14ac:dyDescent="0.3">
      <c r="A25"/>
    </row>
    <row r="26" spans="1:1" ht="19.95" customHeight="1" x14ac:dyDescent="0.3">
      <c r="A26"/>
    </row>
    <row r="27" spans="1:1" ht="19.95" customHeight="1" x14ac:dyDescent="0.3">
      <c r="A27"/>
    </row>
    <row r="28" spans="1:1" ht="19.95" customHeight="1" x14ac:dyDescent="0.3">
      <c r="A28"/>
    </row>
    <row r="29" spans="1:1" ht="19.95" customHeight="1" x14ac:dyDescent="0.3">
      <c r="A29"/>
    </row>
    <row r="30" spans="1:1" ht="19.95" customHeight="1" x14ac:dyDescent="0.3">
      <c r="A30"/>
    </row>
    <row r="31" spans="1:1" ht="19.95" customHeight="1" x14ac:dyDescent="0.3">
      <c r="A31"/>
    </row>
    <row r="32" spans="1:1" ht="19.95" customHeight="1" x14ac:dyDescent="0.3">
      <c r="A32"/>
    </row>
    <row r="33" spans="1:1" ht="19.95" customHeight="1" x14ac:dyDescent="0.3">
      <c r="A33"/>
    </row>
    <row r="34" spans="1:1" ht="19.95" customHeight="1" x14ac:dyDescent="0.3">
      <c r="A34"/>
    </row>
    <row r="35" spans="1:1" ht="19.95" customHeight="1" x14ac:dyDescent="0.3">
      <c r="A35"/>
    </row>
    <row r="36" spans="1:1" ht="19.95" customHeight="1" x14ac:dyDescent="0.3">
      <c r="A36"/>
    </row>
    <row r="37" spans="1:1" ht="21" customHeight="1" x14ac:dyDescent="0.3">
      <c r="A37"/>
    </row>
    <row r="38" spans="1:1" ht="49.95" customHeight="1" x14ac:dyDescent="0.3">
      <c r="A38"/>
    </row>
    <row r="39" spans="1:1" ht="21" customHeight="1" x14ac:dyDescent="0.3">
      <c r="A39"/>
    </row>
    <row r="40" spans="1:1" ht="21" customHeight="1" x14ac:dyDescent="0.3">
      <c r="A40"/>
    </row>
    <row r="41" spans="1:1" ht="21" customHeight="1" x14ac:dyDescent="0.3">
      <c r="A41"/>
    </row>
    <row r="42" spans="1:1" ht="21" customHeight="1" x14ac:dyDescent="0.3">
      <c r="A42"/>
    </row>
    <row r="43" spans="1:1" ht="21" customHeight="1" x14ac:dyDescent="0.3">
      <c r="A43"/>
    </row>
    <row r="44" spans="1:1" ht="21" customHeight="1" x14ac:dyDescent="0.3">
      <c r="A44"/>
    </row>
    <row r="45" spans="1:1" ht="21" customHeight="1" x14ac:dyDescent="0.3">
      <c r="A45"/>
    </row>
    <row r="46" spans="1:1" ht="21" customHeight="1" x14ac:dyDescent="0.3">
      <c r="A46"/>
    </row>
    <row r="47" spans="1:1" ht="21" customHeight="1" x14ac:dyDescent="0.3">
      <c r="A47"/>
    </row>
    <row r="48" spans="1:1" ht="21" customHeight="1" x14ac:dyDescent="0.3">
      <c r="A48"/>
    </row>
    <row r="49" spans="1:1" ht="21" customHeight="1" x14ac:dyDescent="0.3">
      <c r="A49"/>
    </row>
    <row r="50" spans="1:1" ht="21" customHeight="1" x14ac:dyDescent="0.3">
      <c r="A50"/>
    </row>
    <row r="51" spans="1:1" ht="21" customHeight="1" x14ac:dyDescent="0.3">
      <c r="A51"/>
    </row>
    <row r="52" spans="1:1" ht="21" customHeight="1" x14ac:dyDescent="0.3">
      <c r="A52"/>
    </row>
    <row r="53" spans="1:1" ht="21" customHeight="1" x14ac:dyDescent="0.3">
      <c r="A53"/>
    </row>
    <row r="54" spans="1:1" ht="21" customHeight="1" x14ac:dyDescent="0.3">
      <c r="A54"/>
    </row>
    <row r="55" spans="1:1" ht="21" customHeight="1" x14ac:dyDescent="0.3">
      <c r="A55"/>
    </row>
    <row r="56" spans="1:1" ht="21" customHeight="1" x14ac:dyDescent="0.3">
      <c r="A56"/>
    </row>
    <row r="57" spans="1:1" ht="21" customHeight="1" x14ac:dyDescent="0.3">
      <c r="A57"/>
    </row>
    <row r="58" spans="1:1" ht="21" customHeight="1" x14ac:dyDescent="0.3">
      <c r="A58"/>
    </row>
    <row r="59" spans="1:1" ht="21" customHeight="1" x14ac:dyDescent="0.3">
      <c r="A59"/>
    </row>
    <row r="60" spans="1:1" ht="21" customHeight="1" x14ac:dyDescent="0.3">
      <c r="A60"/>
    </row>
    <row r="61" spans="1:1" ht="15.6" x14ac:dyDescent="0.3">
      <c r="A61"/>
    </row>
    <row r="62" spans="1:1" ht="15.6" x14ac:dyDescent="0.3">
      <c r="A62"/>
    </row>
    <row r="63" spans="1:1" ht="15.6" x14ac:dyDescent="0.3">
      <c r="A63"/>
    </row>
    <row r="64" spans="1:1" ht="15.6" x14ac:dyDescent="0.3">
      <c r="A64"/>
    </row>
    <row r="65" spans="1:1" ht="15.6" x14ac:dyDescent="0.3">
      <c r="A65"/>
    </row>
    <row r="66" spans="1:1" ht="15.6" x14ac:dyDescent="0.3">
      <c r="A66"/>
    </row>
    <row r="67" spans="1:1" ht="15.6" x14ac:dyDescent="0.3">
      <c r="A67"/>
    </row>
    <row r="68" spans="1:1" ht="15.6" x14ac:dyDescent="0.3">
      <c r="A68"/>
    </row>
    <row r="69" spans="1:1" ht="15.6" x14ac:dyDescent="0.3">
      <c r="A69"/>
    </row>
    <row r="70" spans="1:1" ht="15.6" x14ac:dyDescent="0.3">
      <c r="A70"/>
    </row>
    <row r="71" spans="1:1" ht="15.6" x14ac:dyDescent="0.3">
      <c r="A71"/>
    </row>
    <row r="72" spans="1:1" ht="15.6" x14ac:dyDescent="0.3">
      <c r="A72"/>
    </row>
    <row r="73" spans="1:1" ht="15.6" x14ac:dyDescent="0.3">
      <c r="A73"/>
    </row>
    <row r="74" spans="1:1" ht="15.6" x14ac:dyDescent="0.3">
      <c r="A74"/>
    </row>
    <row r="75" spans="1:1" ht="15.6" x14ac:dyDescent="0.3">
      <c r="A75"/>
    </row>
    <row r="76" spans="1:1" ht="15.6" x14ac:dyDescent="0.3">
      <c r="A76"/>
    </row>
    <row r="77" spans="1:1" ht="15.6" x14ac:dyDescent="0.3">
      <c r="A77"/>
    </row>
    <row r="78" spans="1:1" ht="15.6" x14ac:dyDescent="0.3">
      <c r="A78"/>
    </row>
    <row r="79" spans="1:1" ht="15.6" x14ac:dyDescent="0.3">
      <c r="A79"/>
    </row>
    <row r="80" spans="1:1" ht="15.6" x14ac:dyDescent="0.3">
      <c r="A80"/>
    </row>
    <row r="81" spans="1:1" ht="15.6" x14ac:dyDescent="0.3">
      <c r="A81"/>
    </row>
    <row r="82" spans="1:1" ht="15.6" x14ac:dyDescent="0.3">
      <c r="A82"/>
    </row>
    <row r="83" spans="1:1" ht="15.6" x14ac:dyDescent="0.3">
      <c r="A83"/>
    </row>
    <row r="84" spans="1:1" ht="15.6" x14ac:dyDescent="0.3">
      <c r="A84"/>
    </row>
    <row r="85" spans="1:1" ht="15.6" x14ac:dyDescent="0.3">
      <c r="A85"/>
    </row>
    <row r="86" spans="1:1" ht="15.6" x14ac:dyDescent="0.3">
      <c r="A86"/>
    </row>
    <row r="87" spans="1:1" ht="15.6" x14ac:dyDescent="0.3">
      <c r="A87"/>
    </row>
    <row r="88" spans="1:1" ht="21" customHeight="1" x14ac:dyDescent="0.3">
      <c r="A88"/>
    </row>
    <row r="91" spans="1:1" ht="42" customHeight="1" x14ac:dyDescent="0.25"/>
  </sheetData>
  <mergeCells count="4">
    <mergeCell ref="B3:D3"/>
    <mergeCell ref="F3:G3"/>
    <mergeCell ref="B5:D5"/>
    <mergeCell ref="E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F425B-1D35-47F3-A5FE-3D1786BCE74C}">
  <dimension ref="A1:I91"/>
  <sheetViews>
    <sheetView workbookViewId="0">
      <selection activeCell="E16" sqref="E16"/>
    </sheetView>
  </sheetViews>
  <sheetFormatPr baseColWidth="10" defaultColWidth="10.796875" defaultRowHeight="15" x14ac:dyDescent="0.25"/>
  <cols>
    <col min="1" max="1" width="3.5" style="1" customWidth="1"/>
    <col min="2" max="2" width="10.69921875" style="1" customWidth="1"/>
    <col min="3" max="3" width="40" style="1" customWidth="1"/>
    <col min="4" max="4" width="20" style="1" customWidth="1"/>
    <col min="5" max="7" width="16.69921875" style="1" customWidth="1"/>
    <col min="8" max="8" width="14.796875" style="1" customWidth="1"/>
    <col min="9" max="9" width="16.3984375" style="1" customWidth="1"/>
    <col min="10" max="10" width="11" style="1" customWidth="1"/>
    <col min="11" max="16384" width="10.796875" style="1"/>
  </cols>
  <sheetData>
    <row r="1" spans="1:9" ht="49.95" customHeight="1" x14ac:dyDescent="0.45">
      <c r="B1" s="7" t="s">
        <v>37</v>
      </c>
      <c r="C1" s="3"/>
      <c r="D1" s="3"/>
      <c r="E1" s="2"/>
      <c r="F1" s="2"/>
      <c r="G1" s="2"/>
      <c r="H1" s="2"/>
      <c r="I1" s="3"/>
    </row>
    <row r="2" spans="1:9" ht="9" customHeight="1" x14ac:dyDescent="0.25">
      <c r="B2" s="2"/>
      <c r="C2" s="2"/>
      <c r="D2" s="2"/>
      <c r="E2" s="2"/>
      <c r="F2" s="2"/>
      <c r="G2" s="2"/>
      <c r="H2" s="2"/>
      <c r="I2" s="2"/>
    </row>
    <row r="3" spans="1:9" ht="25.95" customHeight="1" x14ac:dyDescent="0.25">
      <c r="B3" s="20" t="s">
        <v>3</v>
      </c>
      <c r="C3" s="20"/>
      <c r="D3" s="20"/>
      <c r="F3" s="21" t="s">
        <v>16</v>
      </c>
      <c r="G3" s="21"/>
      <c r="H3" s="16">
        <f>SUM(E7:E36)</f>
        <v>225000</v>
      </c>
      <c r="I3" s="6"/>
    </row>
    <row r="4" spans="1:9" ht="9" customHeight="1" thickBot="1" x14ac:dyDescent="0.3">
      <c r="B4" s="2"/>
      <c r="C4" s="2"/>
      <c r="D4" s="2"/>
      <c r="E4" s="2"/>
      <c r="F4" s="2"/>
      <c r="G4" s="2"/>
      <c r="H4" s="2"/>
      <c r="I4" s="2"/>
    </row>
    <row r="5" spans="1:9" ht="19.95" customHeight="1" x14ac:dyDescent="0.3">
      <c r="A5"/>
      <c r="B5" s="17" t="s">
        <v>1</v>
      </c>
      <c r="C5" s="18"/>
      <c r="D5" s="19"/>
      <c r="E5" s="22" t="s">
        <v>15</v>
      </c>
      <c r="F5" s="23"/>
    </row>
    <row r="6" spans="1:9" ht="31.95" customHeight="1" x14ac:dyDescent="0.3">
      <c r="A6"/>
      <c r="B6" s="8" t="s">
        <v>0</v>
      </c>
      <c r="C6" s="9" t="s">
        <v>20</v>
      </c>
      <c r="D6" s="9" t="s">
        <v>2</v>
      </c>
      <c r="E6" s="10" t="s">
        <v>17</v>
      </c>
      <c r="F6" s="10" t="s">
        <v>25</v>
      </c>
    </row>
    <row r="7" spans="1:9" ht="19.95" customHeight="1" x14ac:dyDescent="0.3">
      <c r="A7"/>
      <c r="B7" s="5">
        <v>46162</v>
      </c>
      <c r="C7" s="4" t="s">
        <v>21</v>
      </c>
      <c r="D7" s="4" t="s">
        <v>19</v>
      </c>
      <c r="E7" s="13">
        <f>700*3</f>
        <v>2100</v>
      </c>
      <c r="F7" s="13">
        <v>700</v>
      </c>
    </row>
    <row r="8" spans="1:9" ht="19.95" customHeight="1" x14ac:dyDescent="0.3">
      <c r="A8"/>
      <c r="B8" s="11" t="s">
        <v>18</v>
      </c>
      <c r="C8" s="11" t="s">
        <v>22</v>
      </c>
      <c r="D8" s="11" t="s">
        <v>19</v>
      </c>
      <c r="E8" s="12">
        <f>700*5</f>
        <v>3500</v>
      </c>
      <c r="F8" s="12">
        <v>700</v>
      </c>
    </row>
    <row r="9" spans="1:9" ht="19.95" customHeight="1" x14ac:dyDescent="0.3">
      <c r="A9"/>
      <c r="B9" s="5">
        <v>46162</v>
      </c>
      <c r="C9" s="4" t="s">
        <v>23</v>
      </c>
      <c r="D9" s="4" t="s">
        <v>19</v>
      </c>
      <c r="E9" s="13">
        <f>3*450</f>
        <v>1350</v>
      </c>
      <c r="F9" s="13">
        <v>3</v>
      </c>
    </row>
    <row r="10" spans="1:9" ht="19.95" customHeight="1" x14ac:dyDescent="0.3">
      <c r="A10"/>
      <c r="B10" s="11" t="s">
        <v>18</v>
      </c>
      <c r="C10" s="11" t="s">
        <v>24</v>
      </c>
      <c r="D10" s="11" t="s">
        <v>19</v>
      </c>
      <c r="E10" s="12">
        <f>5*50</f>
        <v>250</v>
      </c>
      <c r="F10" s="12">
        <v>5</v>
      </c>
    </row>
    <row r="11" spans="1:9" ht="19.95" customHeight="1" x14ac:dyDescent="0.3">
      <c r="A11"/>
      <c r="B11" s="5">
        <v>46162</v>
      </c>
      <c r="C11" s="4" t="s">
        <v>27</v>
      </c>
      <c r="D11" s="4" t="s">
        <v>19</v>
      </c>
      <c r="E11" s="13">
        <f>500*300</f>
        <v>150000</v>
      </c>
      <c r="F11" s="13">
        <v>500</v>
      </c>
    </row>
    <row r="12" spans="1:9" ht="19.95" customHeight="1" x14ac:dyDescent="0.3">
      <c r="A12"/>
      <c r="B12" s="11" t="s">
        <v>18</v>
      </c>
      <c r="C12" s="11" t="s">
        <v>28</v>
      </c>
      <c r="D12" s="11" t="s">
        <v>19</v>
      </c>
      <c r="E12" s="12">
        <f>60*300</f>
        <v>18000</v>
      </c>
      <c r="F12" s="12">
        <v>60</v>
      </c>
    </row>
    <row r="13" spans="1:9" ht="19.95" customHeight="1" x14ac:dyDescent="0.3">
      <c r="A13"/>
      <c r="B13" s="5">
        <v>46162</v>
      </c>
      <c r="C13" s="4" t="s">
        <v>29</v>
      </c>
      <c r="D13" s="4" t="s">
        <v>19</v>
      </c>
      <c r="E13" s="13">
        <f>2000*8</f>
        <v>16000</v>
      </c>
      <c r="F13" s="13">
        <v>2000</v>
      </c>
    </row>
    <row r="14" spans="1:9" ht="19.95" customHeight="1" x14ac:dyDescent="0.3">
      <c r="A14"/>
      <c r="B14" s="11" t="s">
        <v>18</v>
      </c>
      <c r="C14" s="11" t="s">
        <v>30</v>
      </c>
      <c r="D14" s="11" t="s">
        <v>19</v>
      </c>
      <c r="E14" s="12">
        <f>3500*4</f>
        <v>14000</v>
      </c>
      <c r="F14" s="12">
        <v>3500</v>
      </c>
    </row>
    <row r="15" spans="1:9" ht="19.95" customHeight="1" x14ac:dyDescent="0.3">
      <c r="A15"/>
      <c r="B15" s="5">
        <v>46162</v>
      </c>
      <c r="C15" s="4" t="s">
        <v>31</v>
      </c>
      <c r="D15" s="4" t="s">
        <v>19</v>
      </c>
      <c r="E15" s="13">
        <f>2200*9</f>
        <v>19800</v>
      </c>
      <c r="F15" s="13">
        <v>2200</v>
      </c>
    </row>
    <row r="16" spans="1:9" ht="19.95" customHeight="1" x14ac:dyDescent="0.3">
      <c r="A16"/>
    </row>
    <row r="17" spans="1:1" ht="19.95" customHeight="1" x14ac:dyDescent="0.3">
      <c r="A17"/>
    </row>
    <row r="18" spans="1:1" ht="19.95" customHeight="1" x14ac:dyDescent="0.3">
      <c r="A18"/>
    </row>
    <row r="19" spans="1:1" ht="19.95" customHeight="1" x14ac:dyDescent="0.3">
      <c r="A19"/>
    </row>
    <row r="20" spans="1:1" ht="19.95" customHeight="1" x14ac:dyDescent="0.3">
      <c r="A20"/>
    </row>
    <row r="21" spans="1:1" ht="19.95" customHeight="1" x14ac:dyDescent="0.3">
      <c r="A21"/>
    </row>
    <row r="22" spans="1:1" ht="19.95" customHeight="1" x14ac:dyDescent="0.3">
      <c r="A22"/>
    </row>
    <row r="23" spans="1:1" ht="19.95" customHeight="1" x14ac:dyDescent="0.3">
      <c r="A23"/>
    </row>
    <row r="24" spans="1:1" ht="19.95" customHeight="1" x14ac:dyDescent="0.3">
      <c r="A24"/>
    </row>
    <row r="25" spans="1:1" ht="19.95" customHeight="1" x14ac:dyDescent="0.3">
      <c r="A25"/>
    </row>
    <row r="26" spans="1:1" ht="19.95" customHeight="1" x14ac:dyDescent="0.3">
      <c r="A26"/>
    </row>
    <row r="27" spans="1:1" ht="19.95" customHeight="1" x14ac:dyDescent="0.3">
      <c r="A27"/>
    </row>
    <row r="28" spans="1:1" ht="19.95" customHeight="1" x14ac:dyDescent="0.3">
      <c r="A28"/>
    </row>
    <row r="29" spans="1:1" ht="19.95" customHeight="1" x14ac:dyDescent="0.3">
      <c r="A29"/>
    </row>
    <row r="30" spans="1:1" ht="19.95" customHeight="1" x14ac:dyDescent="0.3">
      <c r="A30"/>
    </row>
    <row r="31" spans="1:1" ht="19.95" customHeight="1" x14ac:dyDescent="0.3">
      <c r="A31"/>
    </row>
    <row r="32" spans="1:1" ht="19.95" customHeight="1" x14ac:dyDescent="0.3">
      <c r="A32"/>
    </row>
    <row r="33" spans="1:1" ht="19.95" customHeight="1" x14ac:dyDescent="0.3">
      <c r="A33"/>
    </row>
    <row r="34" spans="1:1" ht="19.95" customHeight="1" x14ac:dyDescent="0.3">
      <c r="A34"/>
    </row>
    <row r="35" spans="1:1" ht="19.95" customHeight="1" x14ac:dyDescent="0.3">
      <c r="A35"/>
    </row>
    <row r="36" spans="1:1" ht="19.95" customHeight="1" x14ac:dyDescent="0.3">
      <c r="A36"/>
    </row>
    <row r="37" spans="1:1" ht="21" customHeight="1" x14ac:dyDescent="0.3">
      <c r="A37"/>
    </row>
    <row r="38" spans="1:1" ht="49.95" customHeight="1" x14ac:dyDescent="0.3">
      <c r="A38"/>
    </row>
    <row r="39" spans="1:1" ht="21" customHeight="1" x14ac:dyDescent="0.3">
      <c r="A39"/>
    </row>
    <row r="40" spans="1:1" ht="21" customHeight="1" x14ac:dyDescent="0.3">
      <c r="A40"/>
    </row>
    <row r="41" spans="1:1" ht="21" customHeight="1" x14ac:dyDescent="0.3">
      <c r="A41"/>
    </row>
    <row r="42" spans="1:1" ht="21" customHeight="1" x14ac:dyDescent="0.3">
      <c r="A42"/>
    </row>
    <row r="43" spans="1:1" ht="21" customHeight="1" x14ac:dyDescent="0.3">
      <c r="A43"/>
    </row>
    <row r="44" spans="1:1" ht="21" customHeight="1" x14ac:dyDescent="0.3">
      <c r="A44"/>
    </row>
    <row r="45" spans="1:1" ht="21" customHeight="1" x14ac:dyDescent="0.3">
      <c r="A45"/>
    </row>
    <row r="46" spans="1:1" ht="21" customHeight="1" x14ac:dyDescent="0.3">
      <c r="A46"/>
    </row>
    <row r="47" spans="1:1" ht="21" customHeight="1" x14ac:dyDescent="0.3">
      <c r="A47"/>
    </row>
    <row r="48" spans="1:1" ht="21" customHeight="1" x14ac:dyDescent="0.3">
      <c r="A48"/>
    </row>
    <row r="49" spans="1:1" ht="21" customHeight="1" x14ac:dyDescent="0.3">
      <c r="A49"/>
    </row>
    <row r="50" spans="1:1" ht="21" customHeight="1" x14ac:dyDescent="0.3">
      <c r="A50"/>
    </row>
    <row r="51" spans="1:1" ht="21" customHeight="1" x14ac:dyDescent="0.3">
      <c r="A51"/>
    </row>
    <row r="52" spans="1:1" ht="21" customHeight="1" x14ac:dyDescent="0.3">
      <c r="A52"/>
    </row>
    <row r="53" spans="1:1" ht="21" customHeight="1" x14ac:dyDescent="0.3">
      <c r="A53"/>
    </row>
    <row r="54" spans="1:1" ht="21" customHeight="1" x14ac:dyDescent="0.3">
      <c r="A54"/>
    </row>
    <row r="55" spans="1:1" ht="21" customHeight="1" x14ac:dyDescent="0.3">
      <c r="A55"/>
    </row>
    <row r="56" spans="1:1" ht="21" customHeight="1" x14ac:dyDescent="0.3">
      <c r="A56"/>
    </row>
    <row r="57" spans="1:1" ht="21" customHeight="1" x14ac:dyDescent="0.3">
      <c r="A57"/>
    </row>
    <row r="58" spans="1:1" ht="21" customHeight="1" x14ac:dyDescent="0.3">
      <c r="A58"/>
    </row>
    <row r="59" spans="1:1" ht="21" customHeight="1" x14ac:dyDescent="0.3">
      <c r="A59"/>
    </row>
    <row r="60" spans="1:1" ht="21" customHeight="1" x14ac:dyDescent="0.3">
      <c r="A60"/>
    </row>
    <row r="61" spans="1:1" ht="15.6" x14ac:dyDescent="0.3">
      <c r="A61"/>
    </row>
    <row r="62" spans="1:1" ht="15.6" x14ac:dyDescent="0.3">
      <c r="A62"/>
    </row>
    <row r="63" spans="1:1" ht="15.6" x14ac:dyDescent="0.3">
      <c r="A63"/>
    </row>
    <row r="64" spans="1:1" ht="15.6" x14ac:dyDescent="0.3">
      <c r="A64"/>
    </row>
    <row r="65" spans="1:1" ht="15.6" x14ac:dyDescent="0.3">
      <c r="A65"/>
    </row>
    <row r="66" spans="1:1" ht="15.6" x14ac:dyDescent="0.3">
      <c r="A66"/>
    </row>
    <row r="67" spans="1:1" ht="15.6" x14ac:dyDescent="0.3">
      <c r="A67"/>
    </row>
    <row r="68" spans="1:1" ht="15.6" x14ac:dyDescent="0.3">
      <c r="A68"/>
    </row>
    <row r="69" spans="1:1" ht="15.6" x14ac:dyDescent="0.3">
      <c r="A69"/>
    </row>
    <row r="70" spans="1:1" ht="15.6" x14ac:dyDescent="0.3">
      <c r="A70"/>
    </row>
    <row r="71" spans="1:1" ht="15.6" x14ac:dyDescent="0.3">
      <c r="A71"/>
    </row>
    <row r="72" spans="1:1" ht="15.6" x14ac:dyDescent="0.3">
      <c r="A72"/>
    </row>
    <row r="73" spans="1:1" ht="15.6" x14ac:dyDescent="0.3">
      <c r="A73"/>
    </row>
    <row r="74" spans="1:1" ht="15.6" x14ac:dyDescent="0.3">
      <c r="A74"/>
    </row>
    <row r="75" spans="1:1" ht="15.6" x14ac:dyDescent="0.3">
      <c r="A75"/>
    </row>
    <row r="76" spans="1:1" ht="15.6" x14ac:dyDescent="0.3">
      <c r="A76"/>
    </row>
    <row r="77" spans="1:1" ht="15.6" x14ac:dyDescent="0.3">
      <c r="A77"/>
    </row>
    <row r="78" spans="1:1" ht="15.6" x14ac:dyDescent="0.3">
      <c r="A78"/>
    </row>
    <row r="79" spans="1:1" ht="15.6" x14ac:dyDescent="0.3">
      <c r="A79"/>
    </row>
    <row r="80" spans="1:1" ht="15.6" x14ac:dyDescent="0.3">
      <c r="A80"/>
    </row>
    <row r="81" spans="1:1" ht="15.6" x14ac:dyDescent="0.3">
      <c r="A81"/>
    </row>
    <row r="82" spans="1:1" ht="15.6" x14ac:dyDescent="0.3">
      <c r="A82"/>
    </row>
    <row r="83" spans="1:1" ht="15.6" x14ac:dyDescent="0.3">
      <c r="A83"/>
    </row>
    <row r="84" spans="1:1" ht="15.6" x14ac:dyDescent="0.3">
      <c r="A84"/>
    </row>
    <row r="85" spans="1:1" ht="15.6" x14ac:dyDescent="0.3">
      <c r="A85"/>
    </row>
    <row r="86" spans="1:1" ht="15.6" x14ac:dyDescent="0.3">
      <c r="A86"/>
    </row>
    <row r="87" spans="1:1" ht="15.6" x14ac:dyDescent="0.3">
      <c r="A87"/>
    </row>
    <row r="88" spans="1:1" ht="21" customHeight="1" x14ac:dyDescent="0.3">
      <c r="A88"/>
    </row>
    <row r="91" spans="1:1" ht="42" customHeight="1" x14ac:dyDescent="0.25"/>
  </sheetData>
  <mergeCells count="4">
    <mergeCell ref="B3:D3"/>
    <mergeCell ref="F3:G3"/>
    <mergeCell ref="B5:D5"/>
    <mergeCell ref="E5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2F9C-3AB5-48AB-A48B-AC535E5FB1C3}">
  <dimension ref="A1:I91"/>
  <sheetViews>
    <sheetView workbookViewId="0">
      <selection activeCell="F13" sqref="F13"/>
    </sheetView>
  </sheetViews>
  <sheetFormatPr baseColWidth="10" defaultColWidth="10.796875" defaultRowHeight="15" x14ac:dyDescent="0.25"/>
  <cols>
    <col min="1" max="1" width="3.5" style="1" customWidth="1"/>
    <col min="2" max="2" width="10.69921875" style="1" customWidth="1"/>
    <col min="3" max="3" width="40" style="1" customWidth="1"/>
    <col min="4" max="4" width="20" style="1" customWidth="1"/>
    <col min="5" max="7" width="16.69921875" style="1" customWidth="1"/>
    <col min="8" max="8" width="16" style="1" customWidth="1"/>
    <col min="9" max="9" width="16.3984375" style="1" customWidth="1"/>
    <col min="10" max="10" width="11" style="1" customWidth="1"/>
    <col min="11" max="16384" width="10.796875" style="1"/>
  </cols>
  <sheetData>
    <row r="1" spans="1:9" ht="49.95" customHeight="1" x14ac:dyDescent="0.45">
      <c r="B1" s="7" t="s">
        <v>37</v>
      </c>
      <c r="C1" s="3"/>
      <c r="D1" s="3"/>
      <c r="E1" s="2"/>
      <c r="F1" s="2"/>
      <c r="G1" s="2"/>
      <c r="H1" s="2"/>
      <c r="I1" s="3"/>
    </row>
    <row r="2" spans="1:9" ht="9" customHeight="1" x14ac:dyDescent="0.25">
      <c r="B2" s="2"/>
      <c r="C2" s="2"/>
      <c r="D2" s="2"/>
      <c r="E2" s="2"/>
      <c r="F2" s="2"/>
      <c r="G2" s="2"/>
      <c r="H2" s="2"/>
      <c r="I2" s="2"/>
    </row>
    <row r="3" spans="1:9" ht="25.95" customHeight="1" x14ac:dyDescent="0.25">
      <c r="B3" s="20" t="s">
        <v>3</v>
      </c>
      <c r="C3" s="20"/>
      <c r="D3" s="20"/>
      <c r="F3" s="21" t="s">
        <v>16</v>
      </c>
      <c r="G3" s="21"/>
      <c r="H3" s="16">
        <f>SUM(E7:E36)</f>
        <v>12500</v>
      </c>
      <c r="I3" s="6"/>
    </row>
    <row r="4" spans="1:9" ht="9" customHeight="1" thickBot="1" x14ac:dyDescent="0.3">
      <c r="B4" s="2"/>
      <c r="C4" s="2"/>
      <c r="D4" s="2"/>
      <c r="E4" s="2"/>
      <c r="F4" s="2"/>
      <c r="G4" s="2"/>
      <c r="H4" s="2"/>
      <c r="I4" s="2"/>
    </row>
    <row r="5" spans="1:9" ht="19.95" customHeight="1" x14ac:dyDescent="0.3">
      <c r="A5"/>
      <c r="B5" s="17" t="s">
        <v>1</v>
      </c>
      <c r="C5" s="18"/>
      <c r="D5" s="19"/>
      <c r="E5" s="22" t="s">
        <v>15</v>
      </c>
      <c r="F5" s="23"/>
    </row>
    <row r="6" spans="1:9" ht="31.95" customHeight="1" x14ac:dyDescent="0.3">
      <c r="A6"/>
      <c r="B6" s="8" t="s">
        <v>0</v>
      </c>
      <c r="C6" s="9" t="s">
        <v>20</v>
      </c>
      <c r="D6" s="9" t="s">
        <v>2</v>
      </c>
      <c r="E6" s="10" t="s">
        <v>17</v>
      </c>
      <c r="F6" s="10" t="s">
        <v>25</v>
      </c>
    </row>
    <row r="7" spans="1:9" ht="19.95" customHeight="1" x14ac:dyDescent="0.3">
      <c r="A7"/>
      <c r="B7" s="11" t="s">
        <v>18</v>
      </c>
      <c r="C7" s="11" t="s">
        <v>32</v>
      </c>
      <c r="D7" s="11" t="s">
        <v>19</v>
      </c>
      <c r="E7" s="12">
        <v>10000</v>
      </c>
      <c r="F7" s="15" t="s">
        <v>26</v>
      </c>
    </row>
    <row r="8" spans="1:9" ht="19.95" customHeight="1" x14ac:dyDescent="0.3">
      <c r="A8"/>
      <c r="B8" s="5">
        <v>46162</v>
      </c>
      <c r="C8" s="4" t="s">
        <v>34</v>
      </c>
      <c r="D8" s="4" t="s">
        <v>19</v>
      </c>
      <c r="E8" s="13">
        <v>1200</v>
      </c>
      <c r="F8" s="14" t="s">
        <v>26</v>
      </c>
    </row>
    <row r="9" spans="1:9" ht="19.95" customHeight="1" x14ac:dyDescent="0.3">
      <c r="A9"/>
      <c r="B9" s="11" t="s">
        <v>18</v>
      </c>
      <c r="C9" s="11" t="s">
        <v>33</v>
      </c>
      <c r="D9" s="11" t="s">
        <v>19</v>
      </c>
      <c r="E9" s="12">
        <v>800</v>
      </c>
      <c r="F9" s="15" t="s">
        <v>26</v>
      </c>
    </row>
    <row r="10" spans="1:9" ht="19.95" customHeight="1" x14ac:dyDescent="0.3">
      <c r="A10"/>
      <c r="B10" s="5">
        <v>46162</v>
      </c>
      <c r="C10" s="4" t="s">
        <v>35</v>
      </c>
      <c r="D10" s="4" t="s">
        <v>19</v>
      </c>
      <c r="E10" s="13">
        <v>250</v>
      </c>
      <c r="F10" s="14" t="s">
        <v>26</v>
      </c>
    </row>
    <row r="11" spans="1:9" ht="19.95" customHeight="1" x14ac:dyDescent="0.3">
      <c r="A11"/>
      <c r="B11" s="11" t="s">
        <v>18</v>
      </c>
      <c r="C11" s="11" t="s">
        <v>36</v>
      </c>
      <c r="D11" s="11" t="s">
        <v>19</v>
      </c>
      <c r="E11" s="12">
        <v>250</v>
      </c>
      <c r="F11" s="15" t="s">
        <v>26</v>
      </c>
    </row>
    <row r="12" spans="1:9" ht="19.95" customHeight="1" x14ac:dyDescent="0.3">
      <c r="A12"/>
    </row>
    <row r="13" spans="1:9" ht="19.95" customHeight="1" x14ac:dyDescent="0.3">
      <c r="A13"/>
    </row>
    <row r="14" spans="1:9" ht="19.95" customHeight="1" x14ac:dyDescent="0.3">
      <c r="A14"/>
    </row>
    <row r="15" spans="1:9" ht="19.95" customHeight="1" x14ac:dyDescent="0.3">
      <c r="A15"/>
    </row>
    <row r="16" spans="1:9" ht="19.95" customHeight="1" x14ac:dyDescent="0.3">
      <c r="A16"/>
    </row>
    <row r="17" spans="1:1" ht="19.95" customHeight="1" x14ac:dyDescent="0.3">
      <c r="A17"/>
    </row>
    <row r="18" spans="1:1" ht="19.95" customHeight="1" x14ac:dyDescent="0.3">
      <c r="A18"/>
    </row>
    <row r="19" spans="1:1" ht="19.95" customHeight="1" x14ac:dyDescent="0.3">
      <c r="A19"/>
    </row>
    <row r="20" spans="1:1" ht="19.95" customHeight="1" x14ac:dyDescent="0.3">
      <c r="A20"/>
    </row>
    <row r="21" spans="1:1" ht="19.95" customHeight="1" x14ac:dyDescent="0.3">
      <c r="A21"/>
    </row>
    <row r="22" spans="1:1" ht="19.95" customHeight="1" x14ac:dyDescent="0.3">
      <c r="A22"/>
    </row>
    <row r="23" spans="1:1" ht="19.95" customHeight="1" x14ac:dyDescent="0.3">
      <c r="A23"/>
    </row>
    <row r="24" spans="1:1" ht="19.95" customHeight="1" x14ac:dyDescent="0.3">
      <c r="A24"/>
    </row>
    <row r="25" spans="1:1" ht="19.95" customHeight="1" x14ac:dyDescent="0.3">
      <c r="A25"/>
    </row>
    <row r="26" spans="1:1" ht="19.95" customHeight="1" x14ac:dyDescent="0.3">
      <c r="A26"/>
    </row>
    <row r="27" spans="1:1" ht="19.95" customHeight="1" x14ac:dyDescent="0.3">
      <c r="A27"/>
    </row>
    <row r="28" spans="1:1" ht="19.95" customHeight="1" x14ac:dyDescent="0.3">
      <c r="A28"/>
    </row>
    <row r="29" spans="1:1" ht="19.95" customHeight="1" x14ac:dyDescent="0.3">
      <c r="A29"/>
    </row>
    <row r="30" spans="1:1" ht="19.95" customHeight="1" x14ac:dyDescent="0.3">
      <c r="A30"/>
    </row>
    <row r="31" spans="1:1" ht="19.95" customHeight="1" x14ac:dyDescent="0.3">
      <c r="A31"/>
    </row>
    <row r="32" spans="1:1" ht="19.95" customHeight="1" x14ac:dyDescent="0.3">
      <c r="A32"/>
    </row>
    <row r="33" spans="1:1" ht="19.95" customHeight="1" x14ac:dyDescent="0.3">
      <c r="A33"/>
    </row>
    <row r="34" spans="1:1" ht="19.95" customHeight="1" x14ac:dyDescent="0.3">
      <c r="A34"/>
    </row>
    <row r="35" spans="1:1" ht="19.95" customHeight="1" x14ac:dyDescent="0.3">
      <c r="A35"/>
    </row>
    <row r="36" spans="1:1" ht="19.95" customHeight="1" x14ac:dyDescent="0.3">
      <c r="A36"/>
    </row>
    <row r="37" spans="1:1" ht="21" customHeight="1" x14ac:dyDescent="0.3">
      <c r="A37"/>
    </row>
    <row r="38" spans="1:1" ht="49.95" customHeight="1" x14ac:dyDescent="0.3">
      <c r="A38"/>
    </row>
    <row r="39" spans="1:1" ht="21" customHeight="1" x14ac:dyDescent="0.3">
      <c r="A39"/>
    </row>
    <row r="40" spans="1:1" ht="21" customHeight="1" x14ac:dyDescent="0.3">
      <c r="A40"/>
    </row>
    <row r="41" spans="1:1" ht="21" customHeight="1" x14ac:dyDescent="0.3">
      <c r="A41"/>
    </row>
    <row r="42" spans="1:1" ht="21" customHeight="1" x14ac:dyDescent="0.3">
      <c r="A42"/>
    </row>
    <row r="43" spans="1:1" ht="21" customHeight="1" x14ac:dyDescent="0.3">
      <c r="A43"/>
    </row>
    <row r="44" spans="1:1" ht="21" customHeight="1" x14ac:dyDescent="0.3">
      <c r="A44"/>
    </row>
    <row r="45" spans="1:1" ht="21" customHeight="1" x14ac:dyDescent="0.3">
      <c r="A45"/>
    </row>
    <row r="46" spans="1:1" ht="21" customHeight="1" x14ac:dyDescent="0.3">
      <c r="A46"/>
    </row>
    <row r="47" spans="1:1" ht="21" customHeight="1" x14ac:dyDescent="0.3">
      <c r="A47"/>
    </row>
    <row r="48" spans="1:1" ht="21" customHeight="1" x14ac:dyDescent="0.3">
      <c r="A48"/>
    </row>
    <row r="49" spans="1:1" ht="21" customHeight="1" x14ac:dyDescent="0.3">
      <c r="A49"/>
    </row>
    <row r="50" spans="1:1" ht="21" customHeight="1" x14ac:dyDescent="0.3">
      <c r="A50"/>
    </row>
    <row r="51" spans="1:1" ht="21" customHeight="1" x14ac:dyDescent="0.3">
      <c r="A51"/>
    </row>
    <row r="52" spans="1:1" ht="21" customHeight="1" x14ac:dyDescent="0.3">
      <c r="A52"/>
    </row>
    <row r="53" spans="1:1" ht="21" customHeight="1" x14ac:dyDescent="0.3">
      <c r="A53"/>
    </row>
    <row r="54" spans="1:1" ht="21" customHeight="1" x14ac:dyDescent="0.3">
      <c r="A54"/>
    </row>
    <row r="55" spans="1:1" ht="21" customHeight="1" x14ac:dyDescent="0.3">
      <c r="A55"/>
    </row>
    <row r="56" spans="1:1" ht="21" customHeight="1" x14ac:dyDescent="0.3">
      <c r="A56"/>
    </row>
    <row r="57" spans="1:1" ht="21" customHeight="1" x14ac:dyDescent="0.3">
      <c r="A57"/>
    </row>
    <row r="58" spans="1:1" ht="21" customHeight="1" x14ac:dyDescent="0.3">
      <c r="A58"/>
    </row>
    <row r="59" spans="1:1" ht="21" customHeight="1" x14ac:dyDescent="0.3">
      <c r="A59"/>
    </row>
    <row r="60" spans="1:1" ht="21" customHeight="1" x14ac:dyDescent="0.3">
      <c r="A60"/>
    </row>
    <row r="61" spans="1:1" ht="15.6" x14ac:dyDescent="0.3">
      <c r="A61"/>
    </row>
    <row r="62" spans="1:1" ht="15.6" x14ac:dyDescent="0.3">
      <c r="A62"/>
    </row>
    <row r="63" spans="1:1" ht="15.6" x14ac:dyDescent="0.3">
      <c r="A63"/>
    </row>
    <row r="64" spans="1:1" ht="15.6" x14ac:dyDescent="0.3">
      <c r="A64"/>
    </row>
    <row r="65" spans="1:1" ht="15.6" x14ac:dyDescent="0.3">
      <c r="A65"/>
    </row>
    <row r="66" spans="1:1" ht="15.6" x14ac:dyDescent="0.3">
      <c r="A66"/>
    </row>
    <row r="67" spans="1:1" ht="15.6" x14ac:dyDescent="0.3">
      <c r="A67"/>
    </row>
    <row r="68" spans="1:1" ht="15.6" x14ac:dyDescent="0.3">
      <c r="A68"/>
    </row>
    <row r="69" spans="1:1" ht="15.6" x14ac:dyDescent="0.3">
      <c r="A69"/>
    </row>
    <row r="70" spans="1:1" ht="15.6" x14ac:dyDescent="0.3">
      <c r="A70"/>
    </row>
    <row r="71" spans="1:1" ht="15.6" x14ac:dyDescent="0.3">
      <c r="A71"/>
    </row>
    <row r="72" spans="1:1" ht="15.6" x14ac:dyDescent="0.3">
      <c r="A72"/>
    </row>
    <row r="73" spans="1:1" ht="15.6" x14ac:dyDescent="0.3">
      <c r="A73"/>
    </row>
    <row r="74" spans="1:1" ht="15.6" x14ac:dyDescent="0.3">
      <c r="A74"/>
    </row>
    <row r="75" spans="1:1" ht="15.6" x14ac:dyDescent="0.3">
      <c r="A75"/>
    </row>
    <row r="76" spans="1:1" ht="15.6" x14ac:dyDescent="0.3">
      <c r="A76"/>
    </row>
    <row r="77" spans="1:1" ht="15.6" x14ac:dyDescent="0.3">
      <c r="A77"/>
    </row>
    <row r="78" spans="1:1" ht="15.6" x14ac:dyDescent="0.3">
      <c r="A78"/>
    </row>
    <row r="79" spans="1:1" ht="15.6" x14ac:dyDescent="0.3">
      <c r="A79"/>
    </row>
    <row r="80" spans="1:1" ht="15.6" x14ac:dyDescent="0.3">
      <c r="A80"/>
    </row>
    <row r="81" spans="1:1" ht="15.6" x14ac:dyDescent="0.3">
      <c r="A81"/>
    </row>
    <row r="82" spans="1:1" ht="15.6" x14ac:dyDescent="0.3">
      <c r="A82"/>
    </row>
    <row r="83" spans="1:1" ht="15.6" x14ac:dyDescent="0.3">
      <c r="A83"/>
    </row>
    <row r="84" spans="1:1" ht="15.6" x14ac:dyDescent="0.3">
      <c r="A84"/>
    </row>
    <row r="85" spans="1:1" ht="15.6" x14ac:dyDescent="0.3">
      <c r="A85"/>
    </row>
    <row r="86" spans="1:1" ht="15.6" x14ac:dyDescent="0.3">
      <c r="A86"/>
    </row>
    <row r="87" spans="1:1" ht="15.6" x14ac:dyDescent="0.3">
      <c r="A87"/>
    </row>
    <row r="88" spans="1:1" ht="21" customHeight="1" x14ac:dyDescent="0.3">
      <c r="A88"/>
    </row>
    <row r="91" spans="1:1" ht="42" customHeight="1" x14ac:dyDescent="0.25"/>
  </sheetData>
  <mergeCells count="4">
    <mergeCell ref="B3:D3"/>
    <mergeCell ref="F3:G3"/>
    <mergeCell ref="B5:D5"/>
    <mergeCell ref="E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B68F5-0E2A-4468-90D1-9D4A873B1D18}">
  <dimension ref="A1:I91"/>
  <sheetViews>
    <sheetView tabSelected="1" workbookViewId="0">
      <selection activeCell="G15" sqref="G15"/>
    </sheetView>
  </sheetViews>
  <sheetFormatPr baseColWidth="10" defaultColWidth="10.796875" defaultRowHeight="15" x14ac:dyDescent="0.25"/>
  <cols>
    <col min="1" max="1" width="3.5" style="1" customWidth="1"/>
    <col min="2" max="2" width="10.69921875" style="1" customWidth="1"/>
    <col min="3" max="3" width="40" style="1" customWidth="1"/>
    <col min="4" max="4" width="20" style="1" customWidth="1"/>
    <col min="5" max="7" width="16.69921875" style="1" customWidth="1"/>
    <col min="8" max="8" width="18.09765625" style="1" customWidth="1"/>
    <col min="9" max="9" width="16.3984375" style="1" customWidth="1"/>
    <col min="10" max="10" width="11" style="1" customWidth="1"/>
    <col min="11" max="16384" width="10.796875" style="1"/>
  </cols>
  <sheetData>
    <row r="1" spans="1:9" ht="49.95" customHeight="1" x14ac:dyDescent="0.45">
      <c r="B1" s="7" t="s">
        <v>37</v>
      </c>
      <c r="C1" s="3"/>
      <c r="D1" s="3"/>
      <c r="E1" s="2"/>
      <c r="F1" s="2"/>
      <c r="G1" s="2"/>
      <c r="H1" s="2"/>
      <c r="I1" s="3"/>
    </row>
    <row r="2" spans="1:9" ht="9" customHeight="1" x14ac:dyDescent="0.25">
      <c r="B2" s="2"/>
      <c r="C2" s="2"/>
      <c r="D2" s="2"/>
      <c r="E2" s="2"/>
      <c r="F2" s="2"/>
      <c r="G2" s="2"/>
      <c r="H2" s="2"/>
      <c r="I2" s="2"/>
    </row>
    <row r="3" spans="1:9" ht="25.95" customHeight="1" x14ac:dyDescent="0.25">
      <c r="B3" s="20" t="s">
        <v>3</v>
      </c>
      <c r="C3" s="20"/>
      <c r="D3" s="20"/>
      <c r="F3" s="21" t="s">
        <v>16</v>
      </c>
      <c r="G3" s="21"/>
      <c r="H3" s="16">
        <f>SUM(E7:E36)</f>
        <v>13243</v>
      </c>
      <c r="I3" s="6"/>
    </row>
    <row r="4" spans="1:9" ht="9" customHeight="1" thickBot="1" x14ac:dyDescent="0.3">
      <c r="B4" s="2"/>
      <c r="C4" s="2"/>
      <c r="D4" s="2"/>
      <c r="E4" s="2"/>
      <c r="F4" s="2"/>
      <c r="G4" s="2"/>
      <c r="H4" s="2"/>
      <c r="I4" s="2"/>
    </row>
    <row r="5" spans="1:9" ht="19.95" customHeight="1" x14ac:dyDescent="0.3">
      <c r="A5"/>
      <c r="B5" s="17" t="s">
        <v>1</v>
      </c>
      <c r="C5" s="18"/>
      <c r="D5" s="19"/>
      <c r="E5" s="22" t="s">
        <v>15</v>
      </c>
      <c r="F5" s="23"/>
    </row>
    <row r="6" spans="1:9" ht="31.95" customHeight="1" x14ac:dyDescent="0.3">
      <c r="A6"/>
      <c r="B6" s="8" t="s">
        <v>0</v>
      </c>
      <c r="C6" s="9" t="s">
        <v>20</v>
      </c>
      <c r="D6" s="9" t="s">
        <v>2</v>
      </c>
      <c r="E6" s="10" t="s">
        <v>17</v>
      </c>
      <c r="F6" s="10" t="s">
        <v>25</v>
      </c>
    </row>
    <row r="7" spans="1:9" ht="19.95" customHeight="1" x14ac:dyDescent="0.3">
      <c r="A7"/>
      <c r="B7" s="5">
        <v>46162</v>
      </c>
      <c r="C7" s="4" t="s">
        <v>38</v>
      </c>
      <c r="D7" s="4" t="s">
        <v>4</v>
      </c>
      <c r="E7" s="13">
        <v>1200</v>
      </c>
      <c r="F7" s="14" t="s">
        <v>26</v>
      </c>
    </row>
    <row r="8" spans="1:9" ht="19.95" customHeight="1" x14ac:dyDescent="0.3">
      <c r="A8"/>
      <c r="B8" s="11" t="s">
        <v>18</v>
      </c>
      <c r="C8" s="11" t="s">
        <v>39</v>
      </c>
      <c r="D8" s="11" t="s">
        <v>4</v>
      </c>
      <c r="E8" s="12">
        <v>150</v>
      </c>
      <c r="F8" s="15" t="s">
        <v>26</v>
      </c>
    </row>
    <row r="9" spans="1:9" ht="19.95" customHeight="1" x14ac:dyDescent="0.3">
      <c r="A9"/>
      <c r="B9" s="5">
        <v>46162</v>
      </c>
      <c r="C9" s="4" t="s">
        <v>40</v>
      </c>
      <c r="D9" s="4" t="s">
        <v>4</v>
      </c>
      <c r="E9" s="13">
        <v>300</v>
      </c>
      <c r="F9" s="14" t="s">
        <v>26</v>
      </c>
    </row>
    <row r="10" spans="1:9" ht="19.95" customHeight="1" x14ac:dyDescent="0.3">
      <c r="A10"/>
      <c r="B10" s="11" t="s">
        <v>18</v>
      </c>
      <c r="C10" s="11" t="s">
        <v>41</v>
      </c>
      <c r="D10" s="11" t="s">
        <v>4</v>
      </c>
      <c r="E10" s="12">
        <v>1000</v>
      </c>
      <c r="F10" s="15" t="s">
        <v>26</v>
      </c>
    </row>
    <row r="11" spans="1:9" ht="19.95" customHeight="1" x14ac:dyDescent="0.3">
      <c r="A11"/>
      <c r="B11" s="5">
        <v>46162</v>
      </c>
      <c r="C11" s="4" t="s">
        <v>42</v>
      </c>
      <c r="D11" s="4" t="s">
        <v>4</v>
      </c>
      <c r="E11" s="13">
        <f>34*300</f>
        <v>10200</v>
      </c>
      <c r="F11" s="24">
        <v>34</v>
      </c>
    </row>
    <row r="12" spans="1:9" ht="19.95" customHeight="1" x14ac:dyDescent="0.3">
      <c r="A12"/>
      <c r="B12" s="11" t="s">
        <v>18</v>
      </c>
      <c r="C12" s="11" t="s">
        <v>43</v>
      </c>
      <c r="D12" s="11" t="s">
        <v>4</v>
      </c>
      <c r="E12" s="12">
        <v>393</v>
      </c>
      <c r="F12" s="15" t="s">
        <v>26</v>
      </c>
    </row>
    <row r="13" spans="1:9" ht="19.95" customHeight="1" x14ac:dyDescent="0.3">
      <c r="A13"/>
    </row>
    <row r="14" spans="1:9" ht="19.95" customHeight="1" x14ac:dyDescent="0.3">
      <c r="A14"/>
    </row>
    <row r="15" spans="1:9" ht="19.95" customHeight="1" x14ac:dyDescent="0.3">
      <c r="A15"/>
    </row>
    <row r="16" spans="1:9" ht="19.95" customHeight="1" x14ac:dyDescent="0.3">
      <c r="A16"/>
    </row>
    <row r="17" spans="1:1" ht="19.95" customHeight="1" x14ac:dyDescent="0.3">
      <c r="A17"/>
    </row>
    <row r="18" spans="1:1" ht="19.95" customHeight="1" x14ac:dyDescent="0.3">
      <c r="A18"/>
    </row>
    <row r="19" spans="1:1" ht="19.95" customHeight="1" x14ac:dyDescent="0.3">
      <c r="A19"/>
    </row>
    <row r="20" spans="1:1" ht="19.95" customHeight="1" x14ac:dyDescent="0.3">
      <c r="A20"/>
    </row>
    <row r="21" spans="1:1" ht="19.95" customHeight="1" x14ac:dyDescent="0.3">
      <c r="A21"/>
    </row>
    <row r="22" spans="1:1" ht="19.95" customHeight="1" x14ac:dyDescent="0.3">
      <c r="A22"/>
    </row>
    <row r="23" spans="1:1" ht="19.95" customHeight="1" x14ac:dyDescent="0.3">
      <c r="A23"/>
    </row>
    <row r="24" spans="1:1" ht="19.95" customHeight="1" x14ac:dyDescent="0.3">
      <c r="A24"/>
    </row>
    <row r="25" spans="1:1" ht="19.95" customHeight="1" x14ac:dyDescent="0.3">
      <c r="A25"/>
    </row>
    <row r="26" spans="1:1" ht="19.95" customHeight="1" x14ac:dyDescent="0.3">
      <c r="A26"/>
    </row>
    <row r="27" spans="1:1" ht="19.95" customHeight="1" x14ac:dyDescent="0.3">
      <c r="A27"/>
    </row>
    <row r="28" spans="1:1" ht="19.95" customHeight="1" x14ac:dyDescent="0.3">
      <c r="A28"/>
    </row>
    <row r="29" spans="1:1" ht="19.95" customHeight="1" x14ac:dyDescent="0.3">
      <c r="A29"/>
    </row>
    <row r="30" spans="1:1" ht="19.95" customHeight="1" x14ac:dyDescent="0.3">
      <c r="A30"/>
    </row>
    <row r="31" spans="1:1" ht="19.95" customHeight="1" x14ac:dyDescent="0.3">
      <c r="A31"/>
    </row>
    <row r="32" spans="1:1" ht="19.95" customHeight="1" x14ac:dyDescent="0.3">
      <c r="A32"/>
    </row>
    <row r="33" spans="1:1" ht="19.95" customHeight="1" x14ac:dyDescent="0.3">
      <c r="A33"/>
    </row>
    <row r="34" spans="1:1" ht="19.95" customHeight="1" x14ac:dyDescent="0.3">
      <c r="A34"/>
    </row>
    <row r="35" spans="1:1" ht="19.95" customHeight="1" x14ac:dyDescent="0.3">
      <c r="A35"/>
    </row>
    <row r="36" spans="1:1" ht="19.95" customHeight="1" x14ac:dyDescent="0.3">
      <c r="A36"/>
    </row>
    <row r="37" spans="1:1" ht="21" customHeight="1" x14ac:dyDescent="0.3">
      <c r="A37"/>
    </row>
    <row r="38" spans="1:1" ht="49.95" customHeight="1" x14ac:dyDescent="0.3">
      <c r="A38"/>
    </row>
    <row r="39" spans="1:1" ht="21" customHeight="1" x14ac:dyDescent="0.3">
      <c r="A39"/>
    </row>
    <row r="40" spans="1:1" ht="21" customHeight="1" x14ac:dyDescent="0.3">
      <c r="A40"/>
    </row>
    <row r="41" spans="1:1" ht="21" customHeight="1" x14ac:dyDescent="0.3">
      <c r="A41"/>
    </row>
    <row r="42" spans="1:1" ht="21" customHeight="1" x14ac:dyDescent="0.3">
      <c r="A42"/>
    </row>
    <row r="43" spans="1:1" ht="21" customHeight="1" x14ac:dyDescent="0.3">
      <c r="A43"/>
    </row>
    <row r="44" spans="1:1" ht="21" customHeight="1" x14ac:dyDescent="0.3">
      <c r="A44"/>
    </row>
    <row r="45" spans="1:1" ht="21" customHeight="1" x14ac:dyDescent="0.3">
      <c r="A45"/>
    </row>
    <row r="46" spans="1:1" ht="21" customHeight="1" x14ac:dyDescent="0.3">
      <c r="A46"/>
    </row>
    <row r="47" spans="1:1" ht="21" customHeight="1" x14ac:dyDescent="0.3">
      <c r="A47"/>
    </row>
    <row r="48" spans="1:1" ht="21" customHeight="1" x14ac:dyDescent="0.3">
      <c r="A48"/>
    </row>
    <row r="49" spans="1:1" ht="21" customHeight="1" x14ac:dyDescent="0.3">
      <c r="A49"/>
    </row>
    <row r="50" spans="1:1" ht="21" customHeight="1" x14ac:dyDescent="0.3">
      <c r="A50"/>
    </row>
    <row r="51" spans="1:1" ht="21" customHeight="1" x14ac:dyDescent="0.3">
      <c r="A51"/>
    </row>
    <row r="52" spans="1:1" ht="21" customHeight="1" x14ac:dyDescent="0.3">
      <c r="A52"/>
    </row>
    <row r="53" spans="1:1" ht="21" customHeight="1" x14ac:dyDescent="0.3">
      <c r="A53"/>
    </row>
    <row r="54" spans="1:1" ht="21" customHeight="1" x14ac:dyDescent="0.3">
      <c r="A54"/>
    </row>
    <row r="55" spans="1:1" ht="21" customHeight="1" x14ac:dyDescent="0.3">
      <c r="A55"/>
    </row>
    <row r="56" spans="1:1" ht="21" customHeight="1" x14ac:dyDescent="0.3">
      <c r="A56"/>
    </row>
    <row r="57" spans="1:1" ht="21" customHeight="1" x14ac:dyDescent="0.3">
      <c r="A57"/>
    </row>
    <row r="58" spans="1:1" ht="21" customHeight="1" x14ac:dyDescent="0.3">
      <c r="A58"/>
    </row>
    <row r="59" spans="1:1" ht="21" customHeight="1" x14ac:dyDescent="0.3">
      <c r="A59"/>
    </row>
    <row r="60" spans="1:1" ht="21" customHeight="1" x14ac:dyDescent="0.3">
      <c r="A60"/>
    </row>
    <row r="61" spans="1:1" ht="15.6" x14ac:dyDescent="0.3">
      <c r="A61"/>
    </row>
    <row r="62" spans="1:1" ht="15.6" x14ac:dyDescent="0.3">
      <c r="A62"/>
    </row>
    <row r="63" spans="1:1" ht="15.6" x14ac:dyDescent="0.3">
      <c r="A63"/>
    </row>
    <row r="64" spans="1:1" ht="15.6" x14ac:dyDescent="0.3">
      <c r="A64"/>
    </row>
    <row r="65" spans="1:1" ht="15.6" x14ac:dyDescent="0.3">
      <c r="A65"/>
    </row>
    <row r="66" spans="1:1" ht="15.6" x14ac:dyDescent="0.3">
      <c r="A66"/>
    </row>
    <row r="67" spans="1:1" ht="15.6" x14ac:dyDescent="0.3">
      <c r="A67"/>
    </row>
    <row r="68" spans="1:1" ht="15.6" x14ac:dyDescent="0.3">
      <c r="A68"/>
    </row>
    <row r="69" spans="1:1" ht="15.6" x14ac:dyDescent="0.3">
      <c r="A69"/>
    </row>
    <row r="70" spans="1:1" ht="15.6" x14ac:dyDescent="0.3">
      <c r="A70"/>
    </row>
    <row r="71" spans="1:1" ht="15.6" x14ac:dyDescent="0.3">
      <c r="A71"/>
    </row>
    <row r="72" spans="1:1" ht="15.6" x14ac:dyDescent="0.3">
      <c r="A72"/>
    </row>
    <row r="73" spans="1:1" ht="15.6" x14ac:dyDescent="0.3">
      <c r="A73"/>
    </row>
    <row r="74" spans="1:1" ht="15.6" x14ac:dyDescent="0.3">
      <c r="A74"/>
    </row>
    <row r="75" spans="1:1" ht="15.6" x14ac:dyDescent="0.3">
      <c r="A75"/>
    </row>
    <row r="76" spans="1:1" ht="15.6" x14ac:dyDescent="0.3">
      <c r="A76"/>
    </row>
    <row r="77" spans="1:1" ht="15.6" x14ac:dyDescent="0.3">
      <c r="A77"/>
    </row>
    <row r="78" spans="1:1" ht="15.6" x14ac:dyDescent="0.3">
      <c r="A78"/>
    </row>
    <row r="79" spans="1:1" ht="15.6" x14ac:dyDescent="0.3">
      <c r="A79"/>
    </row>
    <row r="80" spans="1:1" ht="15.6" x14ac:dyDescent="0.3">
      <c r="A80"/>
    </row>
    <row r="81" spans="1:1" ht="15.6" x14ac:dyDescent="0.3">
      <c r="A81"/>
    </row>
    <row r="82" spans="1:1" ht="15.6" x14ac:dyDescent="0.3">
      <c r="A82"/>
    </row>
    <row r="83" spans="1:1" ht="15.6" x14ac:dyDescent="0.3">
      <c r="A83"/>
    </row>
    <row r="84" spans="1:1" ht="15.6" x14ac:dyDescent="0.3">
      <c r="A84"/>
    </row>
    <row r="85" spans="1:1" ht="15.6" x14ac:dyDescent="0.3">
      <c r="A85"/>
    </row>
    <row r="86" spans="1:1" ht="15.6" x14ac:dyDescent="0.3">
      <c r="A86"/>
    </row>
    <row r="87" spans="1:1" ht="15.6" x14ac:dyDescent="0.3">
      <c r="A87"/>
    </row>
    <row r="88" spans="1:1" ht="21" customHeight="1" x14ac:dyDescent="0.3">
      <c r="A88"/>
    </row>
    <row r="91" spans="1:1" ht="42" customHeight="1" x14ac:dyDescent="0.25"/>
  </sheetData>
  <mergeCells count="4">
    <mergeCell ref="B3:D3"/>
    <mergeCell ref="F3:G3"/>
    <mergeCell ref="B5:D5"/>
    <mergeCell ref="E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Total</vt:lpstr>
      <vt:lpstr>Devis site</vt:lpstr>
      <vt:lpstr>Devis matériel</vt:lpstr>
      <vt:lpstr>Devis humain</vt:lpstr>
      <vt:lpstr>Devis licenses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Thomas LARGE</cp:lastModifiedBy>
  <dcterms:created xsi:type="dcterms:W3CDTF">2016-02-17T05:52:24Z</dcterms:created>
  <dcterms:modified xsi:type="dcterms:W3CDTF">2026-03-06T21:56:50Z</dcterms:modified>
</cp:coreProperties>
</file>